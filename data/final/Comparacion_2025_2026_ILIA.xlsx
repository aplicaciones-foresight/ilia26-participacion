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 BBDD 2025 (insumo)" sheetId="1" state="visible" r:id="rId3"/>
    <sheet name="2 · Cálculo 2025 · f. antigua" sheetId="2" state="visible" r:id="rId4"/>
    <sheet name="3 · Cálculo 2025 · f. nueva" sheetId="3" state="visible" r:id="rId5"/>
    <sheet name="4 · Comparación" sheetId="4" state="visible" r:id="rId6"/>
    <sheet name="5 · Gráficos" sheetId="5" state="visible" r:id="rId7"/>
  </sheets>
  <definedNames>
    <definedName function="false" hidden="true" localSheetId="0" name="_xlnm._FilterDatabase" vbProcedure="false">'1 · BBDD 2025 (insumo)'!$A$1:$AY$29</definedName>
    <definedName function="false" hidden="true" localSheetId="3" name="_xlnm._FilterDatabase" vbProcedure="false">'4 · Comparación'!$A$5:$V$25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<sst xmlns="http://schemas.openxmlformats.org/spreadsheetml/2006/main" count="805" uniqueCount="354">
  <si>
    <t xml:space="preserve">País</t>
  </si>
  <si>
    <t xml:space="preserve">Caso</t>
  </si>
  <si>
    <t xml:space="preserve">Año</t>
  </si>
  <si>
    <t xml:space="preserve">Descripción breve</t>
  </si>
  <si>
    <t xml:space="preserve">Organización a cargo</t>
  </si>
  <si>
    <t xml:space="preserve">Tipo de Organización (2025)</t>
  </si>
  <si>
    <t xml:space="preserve">Tipo de Proceso</t>
  </si>
  <si>
    <t xml:space="preserve">Etapa de Participación</t>
  </si>
  <si>
    <t xml:space="preserve">Continuidad (2025)</t>
  </si>
  <si>
    <t xml:space="preserve">Tipo de Desarrollador</t>
  </si>
  <si>
    <t xml:space="preserve">Origen Desarrollador</t>
  </si>
  <si>
    <t xml:space="preserve">Tipos de IA (2025)</t>
  </si>
  <si>
    <t xml:space="preserve">Convocante 7-cat (recodificación 2026, BORRADOR)</t>
  </si>
  <si>
    <t xml:space="preserve">Nivel 0-3 (recodificación 2026, override aplicado)</t>
  </si>
  <si>
    <t xml:space="preserve">Nota recodificación</t>
  </si>
  <si>
    <t xml:space="preserve">norm proceso</t>
  </si>
  <si>
    <t xml:space="preserve">norm etapa</t>
  </si>
  <si>
    <t xml:space="preserve">norm desarrollador</t>
  </si>
  <si>
    <t xml:space="preserve">norm origen</t>
  </si>
  <si>
    <t xml:space="preserve">norm sistemas IA</t>
  </si>
  <si>
    <t xml:space="preserve">norm convocante</t>
  </si>
  <si>
    <t xml:space="preserve">TP: Participación Digital (0/1)</t>
  </si>
  <si>
    <t xml:space="preserve">TP: Gobernanza Colaborativa (0/1)</t>
  </si>
  <si>
    <t xml:space="preserve">TP: Mini públicos (0/1)</t>
  </si>
  <si>
    <t xml:space="preserve">TP: Referendos e Inic. Populares (0/1)</t>
  </si>
  <si>
    <t xml:space="preserve">TP: Presupuestos Participativos (0/1)</t>
  </si>
  <si>
    <t xml:space="preserve">ET: Planificación (0/1)</t>
  </si>
  <si>
    <t xml:space="preserve">ET: Implementación (0/1)</t>
  </si>
  <si>
    <t xml:space="preserve">ET: Análisis (0/1)</t>
  </si>
  <si>
    <t xml:space="preserve">ET: Traducción Política (0/1)</t>
  </si>
  <si>
    <t xml:space="preserve">ORG: Público (0/1)</t>
  </si>
  <si>
    <t xml:space="preserve">ORG: Privado (0/1)</t>
  </si>
  <si>
    <t xml:space="preserve">ORG: Mixto (0/1)</t>
  </si>
  <si>
    <t xml:space="preserve">CONT: Uso único (0/1)</t>
  </si>
  <si>
    <t xml:space="preserve">CONT: Plataforma (0/1)</t>
  </si>
  <si>
    <t xml:space="preserve">DEV: Industria (0/1)</t>
  </si>
  <si>
    <t xml:space="preserve">DEV: Academia (0/1)</t>
  </si>
  <si>
    <t xml:space="preserve">DEV: Gobierno (0/1)</t>
  </si>
  <si>
    <t xml:space="preserve">DEV: Sociedad Civil (0/1)</t>
  </si>
  <si>
    <t xml:space="preserve">ORIGEN: Nacional (0/1)</t>
  </si>
  <si>
    <t xml:space="preserve">ORIGEN: Internacional (0/1)</t>
  </si>
  <si>
    <t xml:space="preserve">CONV: gobierno local (0/1)</t>
  </si>
  <si>
    <t xml:space="preserve">CONV: gobierno nacional (0/1)</t>
  </si>
  <si>
    <t xml:space="preserve">CONV: otra institución pública (0/1)</t>
  </si>
  <si>
    <t xml:space="preserve">CONV: empresa (0/1)</t>
  </si>
  <si>
    <t xml:space="preserve">CONV: universidad (0/1)</t>
  </si>
  <si>
    <t xml:space="preserve">CONV: sociedad civil (0/1)</t>
  </si>
  <si>
    <t xml:space="preserve">CONV: organización internacional (0/1)</t>
  </si>
  <si>
    <t xml:space="preserve">Nivel efectivo</t>
  </si>
  <si>
    <t xml:space="preserve">Clave combinación convocantes</t>
  </si>
  <si>
    <t xml:space="preserve">Combinación 1ª aparición (país)</t>
  </si>
  <si>
    <t xml:space="preserve">BO</t>
  </si>
  <si>
    <t xml:space="preserve">Bolivia Conversa</t>
  </si>
  <si>
    <t xml:space="preserve">Plataforma de diálogo digital que emplea IA para procesar y agrupar aportaciones ciudadanas en tiempo real, retornando feedback inmediato y garantizando anonimato, con vistas a fomentar el reencuentro y la cohesión social en el país.</t>
  </si>
  <si>
    <t xml:space="preserve">Vicepresidencia del Estado Plurinacional de Bolivia y Sistema de Naciones Unidas en Bolivia</t>
  </si>
  <si>
    <t xml:space="preserve">Público</t>
  </si>
  <si>
    <t xml:space="preserve">Governanza Colaborativa</t>
  </si>
  <si>
    <t xml:space="preserve">Implementación, Análisis</t>
  </si>
  <si>
    <t xml:space="preserve">Uso único</t>
  </si>
  <si>
    <t xml:space="preserve">Gobierno</t>
  </si>
  <si>
    <t xml:space="preserve">Internacional</t>
  </si>
  <si>
    <t xml:space="preserve">NLP - Tópicos</t>
  </si>
  <si>
    <t xml:space="preserve">gobierno nacional; organización internacional</t>
  </si>
  <si>
    <t xml:space="preserve">BR</t>
  </si>
  <si>
    <t xml:space="preserve">Portal e-Cidadania: Marcado automático de respuestas ciudadanas en videos de audiencias públicas</t>
  </si>
  <si>
    <t xml:space="preserve">Implementación de IA para identificar y marcar en los videos de eventos las respuestas dadas a preguntas ciudadanas, incluso cuando estas no fueron respondidas directamente durante las audiencias.</t>
  </si>
  <si>
    <t xml:space="preserve">Senado Federal de Brasil</t>
  </si>
  <si>
    <t xml:space="preserve">Traducción Política</t>
  </si>
  <si>
    <t xml:space="preserve">Plataforma</t>
  </si>
  <si>
    <t xml:space="preserve">Nacional</t>
  </si>
  <si>
    <t xml:space="preserve">Voz a Texto, LLM, NLP</t>
  </si>
  <si>
    <t xml:space="preserve">gobierno nacional</t>
  </si>
  <si>
    <t xml:space="preserve">Plataforma activa; posible nivel 3 si se verifica recurrencia (override)</t>
  </si>
  <si>
    <t xml:space="preserve">Plan Plurianual de la ciudad de Natal</t>
  </si>
  <si>
    <t xml:space="preserve">Recolección de información a través de tres preguntas habilitadas por WhatsApp para diseñar el Plan Plurianual de la ciudad 2026-2029</t>
  </si>
  <si>
    <t xml:space="preserve">Prefeitura Municipal de Natal, a través de la Secretaría Municipal de Planeamiento (SEMPLA)</t>
  </si>
  <si>
    <t xml:space="preserve">Gobierno, Industria</t>
  </si>
  <si>
    <t xml:space="preserve">Nacional, Internacional</t>
  </si>
  <si>
    <t xml:space="preserve">LLM, NLP</t>
  </si>
  <si>
    <t xml:space="preserve">gobierno local</t>
  </si>
  <si>
    <t xml:space="preserve">Colab</t>
  </si>
  <si>
    <t xml:space="preserve">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</si>
  <si>
    <t xml:space="preserve">Privado</t>
  </si>
  <si>
    <t xml:space="preserve">Análisis</t>
  </si>
  <si>
    <t xml:space="preserve">Industria</t>
  </si>
  <si>
    <t xml:space="preserve">ML - Inespecífico</t>
  </si>
  <si>
    <t xml:space="preserve">empresa</t>
  </si>
  <si>
    <t xml:space="preserve">Plataforma desde 2013; posible nivel 3 con evidencia de recurrencia</t>
  </si>
  <si>
    <t xml:space="preserve">ParticipACT Brasil</t>
  </si>
  <si>
    <t xml:space="preserve">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</si>
  <si>
    <t xml:space="preserve">ParticipAct</t>
  </si>
  <si>
    <t xml:space="preserve">Análisis, Implementación, Traducción Política</t>
  </si>
  <si>
    <t xml:space="preserve">Academia</t>
  </si>
  <si>
    <t xml:space="preserve">NLP, Chatbot - Inespecífico, ML - Inespecífico</t>
  </si>
  <si>
    <t xml:space="preserve">universidad</t>
  </si>
  <si>
    <t xml:space="preserve">Convocante ambiguo: universidad vs sociedad civil</t>
  </si>
  <si>
    <t xml:space="preserve">CL</t>
  </si>
  <si>
    <t xml:space="preserve">Cabildos 2016</t>
  </si>
  <si>
    <t xml:space="preserve">Análisis de los cabildos del proceso constitucional en 2016</t>
  </si>
  <si>
    <t xml:space="preserve">Biblioteca del Congreso Nacional</t>
  </si>
  <si>
    <t xml:space="preserve">otra institución pública</t>
  </si>
  <si>
    <t xml:space="preserve">BCN: otra institución pública vs gobierno nacional</t>
  </si>
  <si>
    <t xml:space="preserve">Estudio dIAlogos - Percepciones de Futuro</t>
  </si>
  <si>
    <t xml:space="preserve">Estudio que utilizó distintas herramientas de IA para conocer las percepciones de futuro de la población chilena</t>
  </si>
  <si>
    <t xml:space="preserve">Fundación Encuentros del Futuro y Merlín Research</t>
  </si>
  <si>
    <t xml:space="preserve">Mixto</t>
  </si>
  <si>
    <t xml:space="preserve">NLP</t>
  </si>
  <si>
    <t xml:space="preserve">sociedad civil; empresa</t>
  </si>
  <si>
    <t xml:space="preserve">Tenemos que hablar de Chile</t>
  </si>
  <si>
    <t xml:space="preserve">Iniciativa de diálogo y participación llevada a cabo por la UCH y PUC en el contexto de manifestaciones sociales</t>
  </si>
  <si>
    <t xml:space="preserve">Universidad de Chile y Pontificia Universidad Católica de Chile</t>
  </si>
  <si>
    <t xml:space="preserve">Escenario B: caso en revisión (puede salir)</t>
  </si>
  <si>
    <t xml:space="preserve">Jornada de Escucha Lanzamiento Instituto de Políticas Públicas UNAB</t>
  </si>
  <si>
    <t xml:space="preserve">Jornadas de diálogo de la comunidad académica y otos stakeholders.</t>
  </si>
  <si>
    <t xml:space="preserve">Universidad Andres Bello</t>
  </si>
  <si>
    <t xml:space="preserve">Participación Ciudadana Proceso Constitucional</t>
  </si>
  <si>
    <t xml:space="preserve">Análisis de los resultados obtenidos de los Diálogos Ciudadanos Autoconvocados dentro del proceso constitucional</t>
  </si>
  <si>
    <t xml:space="preserve">Secretaría de Participación Ciudadana</t>
  </si>
  <si>
    <t xml:space="preserve">Aplica a los dos casos homónimos (autoconvocados y audiencias)</t>
  </si>
  <si>
    <t xml:space="preserve">Análisis de las audiencias públicas dentro de los mecanismos de participación ciudadana en el proceso constitucional</t>
  </si>
  <si>
    <t xml:space="preserve">Voz a Texto, NLP - Tópicos</t>
  </si>
  <si>
    <t xml:space="preserve">La voz de los nuevos votantes</t>
  </si>
  <si>
    <t xml:space="preserve">Análisis de Lenguaje Natural para los audios transcritos de encuesta realizada en persona.</t>
  </si>
  <si>
    <t xml:space="preserve">Un encuentro para la equidad de género en la movilidad en Chile</t>
  </si>
  <si>
    <t xml:space="preserve">Espacio participativo para levantar opiniones y propuestas de autoridades, miembros de la sociedad civil y académicos sobre la movilidad con perspectiva de género en Chile.</t>
  </si>
  <si>
    <t xml:space="preserve">Estrategia de Gobierno Digital. Informe proceso participativo segunda consulta ciudadana</t>
  </si>
  <si>
    <t xml:space="preserve">Uso de IA para analizar datos cualitativos en consulta ciudadana.</t>
  </si>
  <si>
    <t xml:space="preserve">Secretaría de Gobierno Digital</t>
  </si>
  <si>
    <t xml:space="preserve">CO</t>
  </si>
  <si>
    <t xml:space="preserve">ECHO – HáblameD Medellín</t>
  </si>
  <si>
    <t xml:space="preserve">IA que capta voz ciudadana en debates guiados y clasifica cada enunciado en metas ODS, generando visualizaciones para la planificación territorial</t>
  </si>
  <si>
    <t xml:space="preserve">UNFPA Colombia (Laboratorio de Innovación) y Personería de Medellín</t>
  </si>
  <si>
    <t xml:space="preserve">Voz a Texto, NLP, LLM</t>
  </si>
  <si>
    <t xml:space="preserve">organización internacional; gobierno local</t>
  </si>
  <si>
    <t xml:space="preserve">Tenemos que hablar de Colombia</t>
  </si>
  <si>
    <t xml:space="preserve">Plataforma colaborativa de diálogo e incidencia ciudadana para la conversación entre diversos actores de la sociedad colombiana, surgido a partir de eventos de manifestaciones sociales.</t>
  </si>
  <si>
    <t xml:space="preserve">Alianza entre seis universidades colombianas (EAFIT, Universidad Nacional de Colombia, Universidad de los Andes, Universidad del Valle, Universidad del Norte y Universidad Industrial de Santander), con el apoyo del Grupo SURA y la Fundación Ideas para la Paz.</t>
  </si>
  <si>
    <t xml:space="preserve">Sociedad Civil</t>
  </si>
  <si>
    <t xml:space="preserve">NLP - Tópicos, NLP - Sentiment</t>
  </si>
  <si>
    <t xml:space="preserve">universidad; empresa; sociedad civil</t>
  </si>
  <si>
    <t xml:space="preserve">Chatico</t>
  </si>
  <si>
    <t xml:space="preserve">Atención automatizada mediante procesamiento de lenguaje natural, análisis de datos y algoritmos de inteligencia artificial para responder consultas ciudadanas sobre más de 400 temas de interés.</t>
  </si>
  <si>
    <t xml:space="preserve">Secretaría General de la Alcaldía Mayor de Bogotá</t>
  </si>
  <si>
    <t xml:space="preserve">Referendos e Iniciativas Populares, Presupuestos Participativos</t>
  </si>
  <si>
    <t xml:space="preserve">Implementación</t>
  </si>
  <si>
    <t xml:space="preserve">Industria, Gobierno</t>
  </si>
  <si>
    <t xml:space="preserve">NLP, LLM</t>
  </si>
  <si>
    <t xml:space="preserve">Descongestión de solicitudes diarias del programa Ingreso Solidario</t>
  </si>
  <si>
    <t xml:space="preserve">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</si>
  <si>
    <t xml:space="preserve">Prosperidad Social</t>
  </si>
  <si>
    <t xml:space="preserve">Exclusión FIRME (recodificación 2026): atención/apoyo, no contenido participativo</t>
  </si>
  <si>
    <t xml:space="preserve">CR</t>
  </si>
  <si>
    <t xml:space="preserve">dIAra</t>
  </si>
  <si>
    <t xml:space="preserve">Sistema de monitoreo de la ejecución de los proyectos de obras públicas en tiempo real mediante inteligencia artificial, donde los ciudadanos pueden fiscalizar y levantar alertas en caso de irregularidades y corrupción en el proyecto</t>
  </si>
  <si>
    <t xml:space="preserve">Contraloría General de la República de Costa Rica</t>
  </si>
  <si>
    <t xml:space="preserve">Participación Digital</t>
  </si>
  <si>
    <t xml:space="preserve">Visión computacional</t>
  </si>
  <si>
    <t xml:space="preserve">Revisar rol_IA: monitoreo de obras (traducción política)</t>
  </si>
  <si>
    <t xml:space="preserve">U-Report Costa Rica – chatbot juvenil</t>
  </si>
  <si>
    <t xml:space="preserve">U-Report es una plataforma global de UNICEF que empodera a adolescentes y jóvenes, permitiéndoles opinar sobre temas sociales cruciales a través de canales que ya utilizan, como WhatsApp, SMS y Facebook Messenger.</t>
  </si>
  <si>
    <t xml:space="preserve">Unicef</t>
  </si>
  <si>
    <t xml:space="preserve">Sociedad Civil, Industria</t>
  </si>
  <si>
    <t xml:space="preserve">organización internacional</t>
  </si>
  <si>
    <t xml:space="preserve">DO</t>
  </si>
  <si>
    <t xml:space="preserve">CiudadanIA</t>
  </si>
  <si>
    <t xml:space="preserve">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</si>
  <si>
    <t xml:space="preserve">GENIA Latinoamérica, en colaboración con la Universidad del Caribe (UNICARIBE), el Ministerio de la Presidencia (MINPRE) y la Oficina Gubernamental de Tecnologías de la Información y Comunicación (OGTIC)</t>
  </si>
  <si>
    <t xml:space="preserve">Sistemas de recomendación, LLM</t>
  </si>
  <si>
    <t xml:space="preserve">empresa; universidad; gobierno nacional</t>
  </si>
  <si>
    <t xml:space="preserve">Escenario B: caso en revisión (puede salir). GENIA: empresa/soc. civil (ambiguo)</t>
  </si>
  <si>
    <t xml:space="preserve">EC</t>
  </si>
  <si>
    <t xml:space="preserve">PAGA IA</t>
  </si>
  <si>
    <t xml:space="preserve">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</si>
  <si>
    <t xml:space="preserve">Gobierno Abierto Ecuador, en colaboración con la Fundación de Ayuda por Internet (Fundapi)</t>
  </si>
  <si>
    <t xml:space="preserve">Referendos e Iniciativas Populares</t>
  </si>
  <si>
    <t xml:space="preserve">LLM</t>
  </si>
  <si>
    <t xml:space="preserve">gobierno nacional; sociedad civil</t>
  </si>
  <si>
    <t xml:space="preserve">GT</t>
  </si>
  <si>
    <t xml:space="preserve">Guatemala Joven Conversa</t>
  </si>
  <si>
    <t xml:space="preserve">Iniciativa de diálogos digitales asistidos por inteligencia artificial que reunió a más de 300 jóvenes de los 22 departamentos de Guatemala para discutir temas como la reforma electoral, la participación juvenil en el desarrollo y la lucha contra la corrupción.</t>
  </si>
  <si>
    <t xml:space="preserve">Oficina del Coordinador Residente de las Naciones Unidas en Guatemala y Fundación Esquipulas para la Paz, la Democracia, el Desarrollo y la Integración</t>
  </si>
  <si>
    <t xml:space="preserve">NLP - Sentiment, NLP - Tópicos</t>
  </si>
  <si>
    <t xml:space="preserve">organización internacional; sociedad civil</t>
  </si>
  <si>
    <t xml:space="preserve">HN</t>
  </si>
  <si>
    <t xml:space="preserve">RedPública + iVerify</t>
  </si>
  <si>
    <t xml:space="preserve">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</si>
  <si>
    <t xml:space="preserve">Programa de las Naciones Unidas para el Desarrollo (PNUD) en colaboración con CEUTEC y la Unión Europea.</t>
  </si>
  <si>
    <t xml:space="preserve">Gobierno, Academia</t>
  </si>
  <si>
    <t xml:space="preserve">Internacional, Nacional</t>
  </si>
  <si>
    <t xml:space="preserve">organización internacional; universidad</t>
  </si>
  <si>
    <t xml:space="preserve">MX</t>
  </si>
  <si>
    <t xml:space="preserve">Sufragio seguro</t>
  </si>
  <si>
    <t xml:space="preserve">Sistema inteligente de detección de situaciones estresantes en el proceso de emisión de sufragio para la reducción de procesos de coacción de sufragio a partir de técnicas de Machine Learning.</t>
  </si>
  <si>
    <t xml:space="preserve">Tecnológico Nacional de México</t>
  </si>
  <si>
    <t xml:space="preserve">Exclusión FIRME (recodificación 2026): integridad/proceso electoral, no contenido</t>
  </si>
  <si>
    <t xml:space="preserve">Presupuesto CRECES</t>
  </si>
  <si>
    <t xml:space="preserve">Presupuesto participativo del Ayuntamiento de Hermosillo en México. Utiliza un chatbot que a través de IA simplifica y facilita la votación de los presupuestos participativos</t>
  </si>
  <si>
    <t xml:space="preserve">Ayundamiento de Hermosilla</t>
  </si>
  <si>
    <t xml:space="preserve">Presupuestos Participativos</t>
  </si>
  <si>
    <t xml:space="preserve">Chatbot - Inespecífico</t>
  </si>
  <si>
    <t xml:space="preserve">PE</t>
  </si>
  <si>
    <t xml:space="preserve">Consulta Ciudadana sobre el Proyecto Nacional de Educación</t>
  </si>
  <si>
    <t xml:space="preserve">Una consulta pública para recoger opiniones sobre el Proyecto Educativo Nacional 2036, utilizando encuestas en línea, talleres y mesas deliberativas.</t>
  </si>
  <si>
    <t xml:space="preserve">Consejo Nacional de Educación del Perú</t>
  </si>
  <si>
    <t xml:space="preserve">CNE: organismo autónomo (otra pública) vs gobierno nacional</t>
  </si>
  <si>
    <t xml:space="preserve">Sistema de cómputo con IA para las Elecciones Generales 2026</t>
  </si>
  <si>
    <t xml:space="preserve">La ONPE implementará un sistema de cómputo de resultados que usa IA (OCR) para reconocer los números de las actas escaneadas, agilizando el conteo y aumentando la transparencia.</t>
  </si>
  <si>
    <t xml:space="preserve">Oficina Nacional de Procesos Electorales (ONPE)</t>
  </si>
  <si>
    <t xml:space="preserve">Exclusión FIRME (recodificación 2026): conteo electoral (OCR), no participación; estado 'Próximamente' = anuncio</t>
  </si>
  <si>
    <t xml:space="preserve">NOTAS Y SUPUESTOS — pestaña 1</t>
  </si>
  <si>
    <t xml:space="preserve">· AZUL = dato (28 casos de la BBDD 2025, solo lectura, + recodificación 2026 BORRADOR de data/baseline/recodificacion_2025.csv: convocante 7-cat y nivel 0-3 con override aplicado). NEGRO = fórmula.</t>
  </si>
  <si>
    <t xml:space="preserve">· Las columnas «norm …» normalizan separadores («, » y «;» → «;») y minúsculas; los flags 0/1 buscan el token exacto entre «;» (imprescindible en Origen: «nacional» es subcadena de «internacional»).</t>
  </si>
  <si>
    <t xml:space="preserve">· «Governanza Colaborativa» (grafía 2025) y «Gobernanza Colaborativa» cuentan como el mismo tipo de proceso.</t>
  </si>
  <si>
    <t xml:space="preserve">· Nivel efectivo: un anuncio (Nivel=1) caduca a los 2 años sin implementación (parámetros en pestaña 3). Solo aplica a la fórmula NUEVA; la fórmula antigua usa Continuidad 2025 (Uso único / Plataforma).</t>
  </si>
  <si>
    <t xml:space="preserve">· Clave de combinación: conjunto de ≥2 tipos de convocante que co-convocan la misma iniciativa (GL=gob. local, GN=gob. nacional, OIP=otra inst. pública, EMP=empresa, UNI=universidad, SC=sociedad civil, OI=org. internacional).</t>
  </si>
  <si>
    <t xml:space="preserve">· Los flags ORG/CONT alimentan SOLO la fórmula antigua; CONV/Nivel efectivo alimentan SOLO la nueva; TP/ET/DEV/ORIGEN/sistemas alimentan ambas.</t>
  </si>
  <si>
    <t xml:space="preserve">CÁLCULO 2025 CON LA FÓRMULA ANTIGUA (legacy 2025 · 4 variables · como se publicó el ILIA 2025)</t>
  </si>
  <si>
    <t xml:space="preserve">N casos</t>
  </si>
  <si>
    <t xml:space="preserve">nº tipos de proceso</t>
  </si>
  <si>
    <t xml:space="preserve">V Tipos (nº÷5×100)</t>
  </si>
  <si>
    <t xml:space="preserve">nº etapas</t>
  </si>
  <si>
    <t xml:space="preserve">V Etapas (nº÷4×100)</t>
  </si>
  <si>
    <t xml:space="preserve">nº modalidades continuidad (UU/PL)</t>
  </si>
  <si>
    <t xml:space="preserve">V Continuidad (nº÷2×100)</t>
  </si>
  <si>
    <t xml:space="preserve">nº tipos org (Púb/Priv/Mixto)</t>
  </si>
  <si>
    <t xml:space="preserve">V Público-Privado (nº÷3×100)</t>
  </si>
  <si>
    <t xml:space="preserve">Sub1 Uso (promedio 4 V)</t>
  </si>
  <si>
    <t xml:space="preserve">Sub1 red.</t>
  </si>
  <si>
    <t xml:space="preserve">dev. nacionales (tipos)</t>
  </si>
  <si>
    <t xml:space="preserve">dev. internacionales (tipos)</t>
  </si>
  <si>
    <t xml:space="preserve">V Desarrollador</t>
  </si>
  <si>
    <t xml:space="preserve">nº sistemas IA</t>
  </si>
  <si>
    <t xml:space="preserve">V Tipos de IA</t>
  </si>
  <si>
    <t xml:space="preserve">Sub2 Desarrollo</t>
  </si>
  <si>
    <t xml:space="preserve">Sub2 red.</t>
  </si>
  <si>
    <t xml:space="preserve">INDICADOR 2025 · fórmula antigua</t>
  </si>
  <si>
    <t xml:space="preserve">Sub1 oficial 2025</t>
  </si>
  <si>
    <t xml:space="preserve">Sub2 oficial 2025</t>
  </si>
  <si>
    <t xml:space="preserve">Indicador oficial 2025</t>
  </si>
  <si>
    <t xml:space="preserve">Control |Δ|≤1</t>
  </si>
  <si>
    <t xml:space="preserve">AR</t>
  </si>
  <si>
    <t xml:space="preserve">CU</t>
  </si>
  <si>
    <t xml:space="preserve">JM</t>
  </si>
  <si>
    <t xml:space="preserve">PA</t>
  </si>
  <si>
    <t xml:space="preserve">PY</t>
  </si>
  <si>
    <t xml:space="preserve">SV</t>
  </si>
  <si>
    <t xml:space="preserve">TT</t>
  </si>
  <si>
    <t xml:space="preserve">s/d</t>
  </si>
  <si>
    <t xml:space="preserve">UY</t>
  </si>
  <si>
    <t xml:space="preserve">VE</t>
  </si>
  <si>
    <t xml:space="preserve">MÁXIMOS RELATIVOS DEL CICLO 2025 (fórmulas MAX sobre la tabla)</t>
  </si>
  <si>
    <t xml:space="preserve">Máx. desarrolladores nacionales</t>
  </si>
  <si>
    <t xml:space="preserve">Máx. desarrolladores internacionales</t>
  </si>
  <si>
    <t xml:space="preserve">Máx. sistemas de IA</t>
  </si>
  <si>
    <t xml:space="preserve">Fuente del oficial 2025: hoja «Gráfico - Índice» de data/baseline/BBDD_IA_Participacion_2025.xlsx (dato pegado). TT = s/d (no estaba en el universo 2025). Diferencias de ±1 provienen del redondeo del motor original (banker's) vs ROUND de Excel (half-up).</t>
  </si>
  <si>
    <t xml:space="preserve">GRILLA — Tipos de proceso presentes por país (20×5)</t>
  </si>
  <si>
    <t xml:space="preserve">TP: Participación Digital</t>
  </si>
  <si>
    <t xml:space="preserve">TP: Gobernanza Colaborativa</t>
  </si>
  <si>
    <t xml:space="preserve">TP: Mini públicos</t>
  </si>
  <si>
    <t xml:space="preserve">TP: Referendos e Inic. Populares</t>
  </si>
  <si>
    <t xml:space="preserve">TP: Presupuestos Participativos</t>
  </si>
  <si>
    <t xml:space="preserve">SUMA</t>
  </si>
  <si>
    <t xml:space="preserve">GRILLA — Etapas presentes por país (20×4)</t>
  </si>
  <si>
    <t xml:space="preserve">ET: Planificación</t>
  </si>
  <si>
    <t xml:space="preserve">ET: Implementación</t>
  </si>
  <si>
    <t xml:space="preserve">ET: Análisis</t>
  </si>
  <si>
    <t xml:space="preserve">ET: Traducción Política</t>
  </si>
  <si>
    <t xml:space="preserve">GRILLA — Modalidades de continuidad 2025 (Uso único / Plataforma) (20×2)</t>
  </si>
  <si>
    <t xml:space="preserve">CONT: Uso único</t>
  </si>
  <si>
    <t xml:space="preserve">CONT: Plataforma</t>
  </si>
  <si>
    <t xml:space="preserve">GRILLA — Tipos de organización 2025 (Público/Privado/Mixto) (20×3)</t>
  </si>
  <si>
    <t xml:space="preserve">ORG: Público</t>
  </si>
  <si>
    <t xml:space="preserve">ORG: Privado</t>
  </si>
  <si>
    <t xml:space="preserve">ORG: Mixto</t>
  </si>
  <si>
    <t xml:space="preserve">GRILLA — Tipos de desarrollador con origen NACIONAL (20×4)</t>
  </si>
  <si>
    <t xml:space="preserve">DEV: Industria</t>
  </si>
  <si>
    <t xml:space="preserve">DEV: Academia</t>
  </si>
  <si>
    <t xml:space="preserve">DEV: Gobierno</t>
  </si>
  <si>
    <t xml:space="preserve">DEV: Sociedad Civil</t>
  </si>
  <si>
    <t xml:space="preserve">GRILLA — Tipos de desarrollador con origen INTERNACIONAL (20×4)</t>
  </si>
  <si>
    <t xml:space="preserve">GRILLA — Sistemas de IA distintos por país (9 tokens 2025; comparación textual exacta)</t>
  </si>
  <si>
    <t xml:space="preserve">nlp - tópicos</t>
  </si>
  <si>
    <t xml:space="preserve">voz a texto</t>
  </si>
  <si>
    <t xml:space="preserve">llm</t>
  </si>
  <si>
    <t xml:space="preserve">nlp</t>
  </si>
  <si>
    <t xml:space="preserve">ml - inespecífico</t>
  </si>
  <si>
    <t xml:space="preserve">chatbot - inespecífico</t>
  </si>
  <si>
    <t xml:space="preserve">nlp - sentiment</t>
  </si>
  <si>
    <t xml:space="preserve">visión computacional</t>
  </si>
  <si>
    <t xml:space="preserve">sistemas de recomendación</t>
  </si>
  <si>
    <t xml:space="preserve">CÁLCULO 2025 CON LA FÓRMULA NUEVA (CENIA v2 · 5 variables · misma base 2025 recodificada)</t>
  </si>
  <si>
    <t xml:space="preserve">N iniciativas</t>
  </si>
  <si>
    <t xml:space="preserve">nº tipos</t>
  </si>
  <si>
    <t xml:space="preserve">V1 Tipos de proceso</t>
  </si>
  <si>
    <t xml:space="preserve">V2 Etapas de uso</t>
  </si>
  <si>
    <t xml:space="preserve">nivel máx (efectivo)</t>
  </si>
  <si>
    <t xml:space="preserve">V3 Continuidad</t>
  </si>
  <si>
    <t xml:space="preserve">nº tipos gub</t>
  </si>
  <si>
    <t xml:space="preserve">nº tipos no-gub</t>
  </si>
  <si>
    <t xml:space="preserve">nº combinaciones</t>
  </si>
  <si>
    <t xml:space="preserve">V4 Convocante</t>
  </si>
  <si>
    <t xml:space="preserve">V5 Cantidad</t>
  </si>
  <si>
    <t xml:space="preserve">Sub1 Uso</t>
  </si>
  <si>
    <t xml:space="preserve">V Desarrollador (=f. antigua)</t>
  </si>
  <si>
    <t xml:space="preserve">V Tipos de IA (=f. antigua)</t>
  </si>
  <si>
    <t xml:space="preserve">Sub2 Desarrollo (=f. antigua)</t>
  </si>
  <si>
    <t xml:space="preserve">INDICADOR 2025 · fórmula nueva</t>
  </si>
  <si>
    <t xml:space="preserve">PARÁMETROS (azul sobre amarillo = entrada; el máximo es fórmula)</t>
  </si>
  <si>
    <t xml:space="preserve">Año de referencia del ciclo</t>
  </si>
  <si>
    <t xml:space="preserve">Caducidad de anuncio (años)</t>
  </si>
  <si>
    <t xml:space="preserve">Máx. combinaciones del ciclo 2025</t>
  </si>
  <si>
    <t xml:space="preserve">Umbrales de Cantidad (nº iniciativas → puntaje)</t>
  </si>
  <si>
    <t xml:space="preserve">0</t>
  </si>
  <si>
    <t xml:space="preserve">1-3</t>
  </si>
  <si>
    <t xml:space="preserve">4-6</t>
  </si>
  <si>
    <t xml:space="preserve">7-9</t>
  </si>
  <si>
    <t xml:space="preserve">10 o más</t>
  </si>
  <si>
    <t xml:space="preserve">Sub2 es idéntico en ambas fórmulas (la metodología 2026 no lo modificó): las columnas P/Q/R referencian la pestaña 2.</t>
  </si>
  <si>
    <t xml:space="preserve">V1/V2 (tipos y etapas) usan las MISMAS grillas de la pestaña 2: la definición de esas dos variables no cambió; lo nuevo es Continuidad por nivel máximo, Convocante (3 subcomponentes con co-convocatoria) y Cantidad.</t>
  </si>
  <si>
    <t xml:space="preserve">GRILLA — Convocante gubernamental (recodificación 2026) (20×3)</t>
  </si>
  <si>
    <t xml:space="preserve">CONV: gobierno local</t>
  </si>
  <si>
    <t xml:space="preserve">CONV: gobierno nacional</t>
  </si>
  <si>
    <t xml:space="preserve">CONV: otra institución pública</t>
  </si>
  <si>
    <t xml:space="preserve">GRILLA — Convocante no gubernamental (recodificación 2026) (20×4)</t>
  </si>
  <si>
    <t xml:space="preserve">CONV: empresa</t>
  </si>
  <si>
    <t xml:space="preserve">CONV: universidad</t>
  </si>
  <si>
    <t xml:space="preserve">CONV: sociedad civil</t>
  </si>
  <si>
    <t xml:space="preserve">CONV: organización internacional</t>
  </si>
  <si>
    <t xml:space="preserve">COMPARACIÓN — Indicador de IA en Participación Ciudadana</t>
  </si>
  <si>
    <t xml:space="preserve">2025 con fórmula antigua y con fórmula nueva = fórmulas que referencian las pestañas 2 y 3 (auditables aquí). 2026 = valores del entregable BBDD_casos_incluidos_ILIA2026.xlsx · pestaña «2 · Índice por país» (pegados como dato el 2026-07-19; las fórmulas auditables están en ese archivo).</t>
  </si>
  <si>
    <t xml:space="preserve">Δ efecto fórmula = misma base 2025, fórmula nueva − antigua · Δ real = 2026 − 2025 (ambos con fórmula nueva) · Δ total = 2026 (f. nueva) − 2025 (f. antigua publicada)</t>
  </si>
  <si>
    <t xml:space="preserve">Indicador 2025 · fórmula antigua</t>
  </si>
  <si>
    <t xml:space="preserve">Indicador 2025 · fórmula nueva</t>
  </si>
  <si>
    <t xml:space="preserve">Indicador 2026</t>
  </si>
  <si>
    <t xml:space="preserve">Δ efecto fórmula (2025n−2025a)</t>
  </si>
  <si>
    <t xml:space="preserve">Δ real (2026−2025n)</t>
  </si>
  <si>
    <t xml:space="preserve">Δ total (2026−2025a)</t>
  </si>
  <si>
    <t xml:space="preserve">Sub1 2025 · f. antigua</t>
  </si>
  <si>
    <t xml:space="preserve">Sub1 2025 · f. nueva</t>
  </si>
  <si>
    <t xml:space="preserve">Sub1 2026</t>
  </si>
  <si>
    <t xml:space="preserve">Sub2 2025 (ambas fórmulas)</t>
  </si>
  <si>
    <t xml:space="preserve">Sub2 2026</t>
  </si>
  <si>
    <t xml:space="preserve">V1 Tipos 2025n</t>
  </si>
  <si>
    <t xml:space="preserve">V1 Tipos 2026</t>
  </si>
  <si>
    <t xml:space="preserve">V2 Etapas 2025n</t>
  </si>
  <si>
    <t xml:space="preserve">V2 Etapas 2026</t>
  </si>
  <si>
    <t xml:space="preserve">V3 Continuidad 2025n</t>
  </si>
  <si>
    <t xml:space="preserve">V3 Continuidad 2026</t>
  </si>
  <si>
    <t xml:space="preserve">V4 Convocante 2025n</t>
  </si>
  <si>
    <t xml:space="preserve">V4 Convocante 2026</t>
  </si>
  <si>
    <t xml:space="preserve">V5 Cantidad 2025n</t>
  </si>
  <si>
    <t xml:space="preserve">V5 Cantidad 2026</t>
  </si>
  <si>
    <t xml:space="preserve">GRÁFICOS — todos leen los rangos de la pestaña «4 · Comparación» (recalculan al cambiar los datos)</t>
  </si>
  <si>
    <t xml:space="preserve">Azul = 2025 fórmula antigua · Verde = 2025 fórmula nueva · Magenta = 2026. V1-V5 existen como variables solo en la fórmula nueva (V1/V2 comparten definición con la antigua). Paleta verificada para daltonismo (ΔE CVD ≥ 8).</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</si>
</sst>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4">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sz val="9"/>
      <color rgb="FF0000FF"/>
      <name val="Arial"/>
      <family val="0"/>
      <charset val="1"/>
    </font>
    <font>
      <sz val="9"/>
      <name val="Arial"/>
      <family val="0"/>
      <charset val="1"/>
    </font>
    <font>
      <b val="true"/>
      <sz val="11"/>
      <name val="Arial"/>
      <family val="0"/>
      <charset val="1"/>
    </font>
    <font>
      <i val="true"/>
      <sz val="8"/>
      <name val="Arial"/>
      <family val="0"/>
      <charset val="1"/>
    </font>
    <font>
      <b val="true"/>
      <sz val="9"/>
      <name val="Arial"/>
      <family val="0"/>
      <charset val="1"/>
    </font>
    <font>
      <b val="true"/>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4E79"/>
        <bgColor rgb="FF003366"/>
      </patternFill>
    </fill>
    <fill>
      <patternFill patternType="solid">
        <fgColor rgb="FF4472C4"/>
        <bgColor rgb="FF2A78D6"/>
      </patternFill>
    </fill>
    <fill>
      <patternFill patternType="solid">
        <fgColor rgb="FFDCE6F1"/>
        <bgColor rgb="FFE2EFDA"/>
      </patternFill>
    </fill>
    <fill>
      <patternFill patternType="solid">
        <fgColor rgb="FFFFFF00"/>
        <bgColor rgb="FFFFFF00"/>
      </patternFill>
    </fill>
    <fill>
      <patternFill patternType="solid">
        <fgColor rgb="FFE2EFDA"/>
        <bgColor rgb="FFDCE6F1"/>
      </patternFill>
    </fill>
    <fill>
      <patternFill patternType="solid">
        <fgColor rgb="FFFCE4E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5" fontId="10" fillId="7"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4472C4"/>
          <bgColor rgb="FF000000"/>
        </patternFill>
      </fill>
    </dxf>
    <dxf>
      <fill>
        <patternFill patternType="solid">
          <fgColor rgb="FFFCE4EC"/>
          <bgColor rgb="FF000000"/>
        </patternFill>
      </fill>
    </dxf>
  </dxfs>
  <colors>
    <indexedColors>
      <rgbColor rgb="FF000000"/>
      <rgbColor rgb="FFFFFFFF"/>
      <rgbColor rgb="FFFF0000"/>
      <rgbColor rgb="FF00FF00"/>
      <rgbColor rgb="FF0000FF"/>
      <rgbColor rgb="FFFFFF00"/>
      <rgbColor rgb="FFFF00FF"/>
      <rgbColor rgb="FF00FFFF"/>
      <rgbColor rgb="FF800000"/>
      <rgbColor rgb="FF008300"/>
      <rgbColor rgb="FF000080"/>
      <rgbColor rgb="FF808000"/>
      <rgbColor rgb="FF800080"/>
      <rgbColor rgb="FF008080"/>
      <rgbColor rgb="FFBFBFBF"/>
      <rgbColor rgb="FF878787"/>
      <rgbColor rgb="FF9999FF"/>
      <rgbColor rgb="FF993366"/>
      <rgbColor rgb="FFFCE4EC"/>
      <rgbColor rgb="FFDCE6F1"/>
      <rgbColor rgb="FF660066"/>
      <rgbColor rgb="FFE87BA4"/>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A78D6"/>
      <rgbColor rgb="FF33CCCC"/>
      <rgbColor rgb="FF99CC00"/>
      <rgbColor rgb="FFFFCC00"/>
      <rgbColor rgb="FFFF9900"/>
      <rgbColor rgb="FFFF6600"/>
      <rgbColor rgb="FF4472C4"/>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Indicador de IA en Participación Ciudadana — 2025 (fórmula antigua) vs 2025 (fórmula nueva) vs 2026</a:t>
            </a:r>
          </a:p>
        </c:rich>
      </c:tx>
      <c:overlay val="0"/>
      <c:spPr>
        <a:noFill/>
        <a:ln w="0">
          <a:noFill/>
        </a:ln>
      </c:spPr>
    </c:title>
    <c:autoTitleDeleted val="0"/>
    <c:plotArea>
      <c:barChart>
        <c:barDir val="col"/>
        <c:grouping val="clustered"/>
        <c:varyColors val="0"/>
        <c:ser>
          <c:idx val="0"/>
          <c:order val="0"/>
          <c:tx>
            <c:strRef>
              <c:f>'4 · Comparación'!B5</c:f>
              <c:strCache>
                <c:ptCount val="1"/>
                <c:pt idx="0">
                  <c:v>Indicador 2025 · fórmula antigua</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Comparación'!$B$6:$B$25</c:f>
              <c:numCache>
                <c:formatCode>0</c:formatCode>
                <c:ptCount val="20"/>
                <c:pt idx="0">
                  <c:v>0</c:v>
                </c:pt>
                <c:pt idx="1">
                  <c:v>31</c:v>
                </c:pt>
                <c:pt idx="2">
                  <c:v>77</c:v>
                </c:pt>
                <c:pt idx="3">
                  <c:v>57</c:v>
                </c:pt>
                <c:pt idx="4">
                  <c:v>85</c:v>
                </c:pt>
                <c:pt idx="5">
                  <c:v>46</c:v>
                </c:pt>
                <c:pt idx="6">
                  <c:v>0</c:v>
                </c:pt>
                <c:pt idx="7">
                  <c:v>30</c:v>
                </c:pt>
                <c:pt idx="8">
                  <c:v>25</c:v>
                </c:pt>
                <c:pt idx="9">
                  <c:v>33</c:v>
                </c:pt>
                <c:pt idx="10">
                  <c:v>42</c:v>
                </c:pt>
                <c:pt idx="11">
                  <c:v>0</c:v>
                </c:pt>
                <c:pt idx="12">
                  <c:v>48</c:v>
                </c:pt>
                <c:pt idx="13">
                  <c:v>0</c:v>
                </c:pt>
                <c:pt idx="14">
                  <c:v>54</c:v>
                </c:pt>
                <c:pt idx="15">
                  <c:v>0</c:v>
                </c:pt>
                <c:pt idx="16">
                  <c:v>0</c:v>
                </c:pt>
                <c:pt idx="17">
                  <c:v>0</c:v>
                </c:pt>
                <c:pt idx="18">
                  <c:v>0</c:v>
                </c:pt>
                <c:pt idx="19">
                  <c:v>0</c:v>
                </c:pt>
              </c:numCache>
            </c:numRef>
          </c:val>
        </c:ser>
        <c:ser>
          <c:idx val="1"/>
          <c:order val="1"/>
          <c:tx>
            <c:strRef>
              <c:f>'4 · Comparación'!C5</c:f>
              <c:strCache>
                <c:ptCount val="1"/>
                <c:pt idx="0">
                  <c:v>Indicador 2025 · fórmula nueva</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Comparación'!$C$6:$C$25</c:f>
              <c:numCache>
                <c:formatCode>0</c:formatCode>
                <c:ptCount val="20"/>
                <c:pt idx="0">
                  <c:v>0</c:v>
                </c:pt>
                <c:pt idx="1">
                  <c:v>32</c:v>
                </c:pt>
                <c:pt idx="2">
                  <c:v>75</c:v>
                </c:pt>
                <c:pt idx="3">
                  <c:v>57</c:v>
                </c:pt>
                <c:pt idx="4">
                  <c:v>82</c:v>
                </c:pt>
                <c:pt idx="5">
                  <c:v>45</c:v>
                </c:pt>
                <c:pt idx="6">
                  <c:v>0</c:v>
                </c:pt>
                <c:pt idx="7">
                  <c:v>32</c:v>
                </c:pt>
                <c:pt idx="8">
                  <c:v>27</c:v>
                </c:pt>
                <c:pt idx="9">
                  <c:v>34</c:v>
                </c:pt>
                <c:pt idx="10">
                  <c:v>43</c:v>
                </c:pt>
                <c:pt idx="11">
                  <c:v>0</c:v>
                </c:pt>
                <c:pt idx="12">
                  <c:v>36</c:v>
                </c:pt>
                <c:pt idx="13">
                  <c:v>0</c:v>
                </c:pt>
                <c:pt idx="14">
                  <c:v>46</c:v>
                </c:pt>
                <c:pt idx="15">
                  <c:v>0</c:v>
                </c:pt>
                <c:pt idx="16">
                  <c:v>0</c:v>
                </c:pt>
                <c:pt idx="17">
                  <c:v>0</c:v>
                </c:pt>
                <c:pt idx="18">
                  <c:v>0</c:v>
                </c:pt>
                <c:pt idx="19">
                  <c:v>0</c:v>
                </c:pt>
              </c:numCache>
            </c:numRef>
          </c:val>
        </c:ser>
        <c:ser>
          <c:idx val="2"/>
          <c:order val="2"/>
          <c:tx>
            <c:strRef>
              <c:f>'4 · Comparación'!D5</c:f>
              <c:strCache>
                <c:ptCount val="1"/>
                <c:pt idx="0">
                  <c:v>Indicador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Comparación'!$D$6:$D$25</c:f>
              <c:numCache>
                <c:formatCode>0</c:formatCode>
                <c:ptCount val="20"/>
                <c:pt idx="0">
                  <c:v>0</c:v>
                </c:pt>
                <c:pt idx="1">
                  <c:v>27</c:v>
                </c:pt>
                <c:pt idx="2">
                  <c:v>91</c:v>
                </c:pt>
                <c:pt idx="3">
                  <c:v>73</c:v>
                </c:pt>
                <c:pt idx="4">
                  <c:v>53</c:v>
                </c:pt>
                <c:pt idx="5">
                  <c:v>0</c:v>
                </c:pt>
                <c:pt idx="6">
                  <c:v>33</c:v>
                </c:pt>
                <c:pt idx="7">
                  <c:v>0</c:v>
                </c:pt>
                <c:pt idx="8">
                  <c:v>23</c:v>
                </c:pt>
                <c:pt idx="9">
                  <c:v>28</c:v>
                </c:pt>
                <c:pt idx="10">
                  <c:v>0</c:v>
                </c:pt>
                <c:pt idx="11">
                  <c:v>0</c:v>
                </c:pt>
                <c:pt idx="12">
                  <c:v>23</c:v>
                </c:pt>
                <c:pt idx="13">
                  <c:v>21</c:v>
                </c:pt>
                <c:pt idx="14">
                  <c:v>24</c:v>
                </c:pt>
                <c:pt idx="15">
                  <c:v>0</c:v>
                </c:pt>
                <c:pt idx="16">
                  <c:v>0</c:v>
                </c:pt>
                <c:pt idx="17">
                  <c:v>0</c:v>
                </c:pt>
                <c:pt idx="18">
                  <c:v>23</c:v>
                </c:pt>
                <c:pt idx="19">
                  <c:v>17</c:v>
                </c:pt>
              </c:numCache>
            </c:numRef>
          </c:val>
        </c:ser>
        <c:gapWidth val="120"/>
        <c:overlap val="0"/>
        <c:axId val="13256816"/>
        <c:axId val="93019633"/>
      </c:barChart>
      <c:catAx>
        <c:axId val="132568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019633"/>
        <c:crosses val="autoZero"/>
        <c:auto val="1"/>
        <c:lblAlgn val="ctr"/>
        <c:lblOffset val="100"/>
        <c:noMultiLvlLbl val="0"/>
      </c:catAx>
      <c:valAx>
        <c:axId val="930196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5681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Sub-Indicador de Uso (Sub1) — efecto de la fórmula y cambio 2026</a:t>
            </a:r>
          </a:p>
        </c:rich>
      </c:tx>
      <c:overlay val="0"/>
      <c:spPr>
        <a:noFill/>
        <a:ln w="0">
          <a:noFill/>
        </a:ln>
      </c:spPr>
    </c:title>
    <c:autoTitleDeleted val="0"/>
    <c:plotArea>
      <c:barChart>
        <c:barDir val="col"/>
        <c:grouping val="clustered"/>
        <c:varyColors val="0"/>
        <c:ser>
          <c:idx val="0"/>
          <c:order val="0"/>
          <c:tx>
            <c:strRef>
              <c:f>'4 · Comparación'!H5</c:f>
              <c:strCache>
                <c:ptCount val="1"/>
                <c:pt idx="0">
                  <c:v>Sub1 2025 · f. antigua</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Comparación'!$H$6:$H$25</c:f>
              <c:numCache>
                <c:formatCode>0</c:formatCode>
                <c:ptCount val="20"/>
                <c:pt idx="0">
                  <c:v>0</c:v>
                </c:pt>
                <c:pt idx="1">
                  <c:v>38</c:v>
                </c:pt>
                <c:pt idx="2">
                  <c:v>53</c:v>
                </c:pt>
                <c:pt idx="3">
                  <c:v>55</c:v>
                </c:pt>
                <c:pt idx="4">
                  <c:v>69</c:v>
                </c:pt>
                <c:pt idx="5">
                  <c:v>38</c:v>
                </c:pt>
                <c:pt idx="6">
                  <c:v>0</c:v>
                </c:pt>
                <c:pt idx="7">
                  <c:v>32</c:v>
                </c:pt>
                <c:pt idx="8">
                  <c:v>32</c:v>
                </c:pt>
                <c:pt idx="9">
                  <c:v>32</c:v>
                </c:pt>
                <c:pt idx="10">
                  <c:v>32</c:v>
                </c:pt>
                <c:pt idx="11">
                  <c:v>0</c:v>
                </c:pt>
                <c:pt idx="12">
                  <c:v>58</c:v>
                </c:pt>
                <c:pt idx="13">
                  <c:v>0</c:v>
                </c:pt>
                <c:pt idx="14">
                  <c:v>56</c:v>
                </c:pt>
                <c:pt idx="15">
                  <c:v>0</c:v>
                </c:pt>
                <c:pt idx="16">
                  <c:v>0</c:v>
                </c:pt>
                <c:pt idx="17">
                  <c:v>0</c:v>
                </c:pt>
                <c:pt idx="18">
                  <c:v>0</c:v>
                </c:pt>
                <c:pt idx="19">
                  <c:v>0</c:v>
                </c:pt>
              </c:numCache>
            </c:numRef>
          </c:val>
        </c:ser>
        <c:ser>
          <c:idx val="1"/>
          <c:order val="1"/>
          <c:tx>
            <c:strRef>
              <c:f>'4 · Comparación'!I5</c:f>
              <c:strCache>
                <c:ptCount val="1"/>
                <c:pt idx="0">
                  <c:v>Sub1 2025 · f. nueva</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Comparación'!$I$6:$I$25</c:f>
              <c:numCache>
                <c:formatCode>0</c:formatCode>
                <c:ptCount val="20"/>
                <c:pt idx="0">
                  <c:v>0</c:v>
                </c:pt>
                <c:pt idx="1">
                  <c:v>40</c:v>
                </c:pt>
                <c:pt idx="2">
                  <c:v>50</c:v>
                </c:pt>
                <c:pt idx="3">
                  <c:v>55</c:v>
                </c:pt>
                <c:pt idx="4">
                  <c:v>63</c:v>
                </c:pt>
                <c:pt idx="5">
                  <c:v>36</c:v>
                </c:pt>
                <c:pt idx="6">
                  <c:v>0</c:v>
                </c:pt>
                <c:pt idx="7">
                  <c:v>36</c:v>
                </c:pt>
                <c:pt idx="8">
                  <c:v>35</c:v>
                </c:pt>
                <c:pt idx="9">
                  <c:v>34</c:v>
                </c:pt>
                <c:pt idx="10">
                  <c:v>34</c:v>
                </c:pt>
                <c:pt idx="11">
                  <c:v>0</c:v>
                </c:pt>
                <c:pt idx="12">
                  <c:v>35</c:v>
                </c:pt>
                <c:pt idx="13">
                  <c:v>0</c:v>
                </c:pt>
                <c:pt idx="14">
                  <c:v>41</c:v>
                </c:pt>
                <c:pt idx="15">
                  <c:v>0</c:v>
                </c:pt>
                <c:pt idx="16">
                  <c:v>0</c:v>
                </c:pt>
                <c:pt idx="17">
                  <c:v>0</c:v>
                </c:pt>
                <c:pt idx="18">
                  <c:v>0</c:v>
                </c:pt>
                <c:pt idx="19">
                  <c:v>0</c:v>
                </c:pt>
              </c:numCache>
            </c:numRef>
          </c:val>
        </c:ser>
        <c:ser>
          <c:idx val="2"/>
          <c:order val="2"/>
          <c:tx>
            <c:strRef>
              <c:f>'4 · Comparación'!J5</c:f>
              <c:strCache>
                <c:ptCount val="1"/>
                <c:pt idx="0">
                  <c:v>Sub1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Comparación'!$J$6:$J$25</c:f>
              <c:numCache>
                <c:formatCode>0</c:formatCode>
                <c:ptCount val="20"/>
                <c:pt idx="0">
                  <c:v>0</c:v>
                </c:pt>
                <c:pt idx="1">
                  <c:v>40</c:v>
                </c:pt>
                <c:pt idx="2">
                  <c:v>81</c:v>
                </c:pt>
                <c:pt idx="3">
                  <c:v>69</c:v>
                </c:pt>
                <c:pt idx="4">
                  <c:v>56</c:v>
                </c:pt>
                <c:pt idx="5">
                  <c:v>0</c:v>
                </c:pt>
                <c:pt idx="6">
                  <c:v>34</c:v>
                </c:pt>
                <c:pt idx="7">
                  <c:v>0</c:v>
                </c:pt>
                <c:pt idx="8">
                  <c:v>35</c:v>
                </c:pt>
                <c:pt idx="9">
                  <c:v>39</c:v>
                </c:pt>
                <c:pt idx="10">
                  <c:v>0</c:v>
                </c:pt>
                <c:pt idx="11">
                  <c:v>0</c:v>
                </c:pt>
                <c:pt idx="12">
                  <c:v>30</c:v>
                </c:pt>
                <c:pt idx="13">
                  <c:v>35</c:v>
                </c:pt>
                <c:pt idx="14">
                  <c:v>30</c:v>
                </c:pt>
                <c:pt idx="15">
                  <c:v>0</c:v>
                </c:pt>
                <c:pt idx="16">
                  <c:v>0</c:v>
                </c:pt>
                <c:pt idx="17">
                  <c:v>0</c:v>
                </c:pt>
                <c:pt idx="18">
                  <c:v>29</c:v>
                </c:pt>
                <c:pt idx="19">
                  <c:v>23</c:v>
                </c:pt>
              </c:numCache>
            </c:numRef>
          </c:val>
        </c:ser>
        <c:gapWidth val="120"/>
        <c:overlap val="0"/>
        <c:axId val="54897433"/>
        <c:axId val="73112207"/>
      </c:barChart>
      <c:catAx>
        <c:axId val="548974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112207"/>
        <c:crosses val="autoZero"/>
        <c:auto val="1"/>
        <c:lblAlgn val="ctr"/>
        <c:lblOffset val="100"/>
        <c:noMultiLvlLbl val="0"/>
      </c:catAx>
      <c:valAx>
        <c:axId val="731122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9743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Sub-Indicador de Desarrollo (Sub2) — idéntico en ambas fórmulas 2025 vs 2026</a:t>
            </a:r>
          </a:p>
        </c:rich>
      </c:tx>
      <c:overlay val="0"/>
      <c:spPr>
        <a:noFill/>
        <a:ln w="0">
          <a:noFill/>
        </a:ln>
      </c:spPr>
    </c:title>
    <c:autoTitleDeleted val="0"/>
    <c:plotArea>
      <c:barChart>
        <c:barDir val="col"/>
        <c:grouping val="clustered"/>
        <c:varyColors val="0"/>
        <c:ser>
          <c:idx val="0"/>
          <c:order val="0"/>
          <c:tx>
            <c:strRef>
              <c:f>'4 · Comparación'!K5</c:f>
              <c:strCache>
                <c:ptCount val="1"/>
                <c:pt idx="0">
                  <c:v>Sub2 2025 (ambas fórmulas)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Comparación'!$K$6:$K$25</c:f>
              <c:numCache>
                <c:formatCode>0</c:formatCode>
                <c:ptCount val="20"/>
                <c:pt idx="0">
                  <c:v>0</c:v>
                </c:pt>
                <c:pt idx="1">
                  <c:v>23</c:v>
                </c:pt>
                <c:pt idx="2">
                  <c:v>100</c:v>
                </c:pt>
                <c:pt idx="3">
                  <c:v>59</c:v>
                </c:pt>
                <c:pt idx="4">
                  <c:v>100</c:v>
                </c:pt>
                <c:pt idx="5">
                  <c:v>53</c:v>
                </c:pt>
                <c:pt idx="6">
                  <c:v>0</c:v>
                </c:pt>
                <c:pt idx="7">
                  <c:v>28</c:v>
                </c:pt>
                <c:pt idx="8">
                  <c:v>18</c:v>
                </c:pt>
                <c:pt idx="9">
                  <c:v>33</c:v>
                </c:pt>
                <c:pt idx="10">
                  <c:v>52</c:v>
                </c:pt>
                <c:pt idx="11">
                  <c:v>0</c:v>
                </c:pt>
                <c:pt idx="12">
                  <c:v>37</c:v>
                </c:pt>
                <c:pt idx="13">
                  <c:v>0</c:v>
                </c:pt>
                <c:pt idx="14">
                  <c:v>51</c:v>
                </c:pt>
                <c:pt idx="15">
                  <c:v>0</c:v>
                </c:pt>
                <c:pt idx="16">
                  <c:v>0</c:v>
                </c:pt>
                <c:pt idx="17">
                  <c:v>0</c:v>
                </c:pt>
                <c:pt idx="18">
                  <c:v>0</c:v>
                </c:pt>
                <c:pt idx="19">
                  <c:v>0</c:v>
                </c:pt>
              </c:numCache>
            </c:numRef>
          </c:val>
        </c:ser>
        <c:ser>
          <c:idx val="1"/>
          <c:order val="1"/>
          <c:tx>
            <c:strRef>
              <c:f>'4 · Comparación'!L5</c:f>
              <c:strCache>
                <c:ptCount val="1"/>
                <c:pt idx="0">
                  <c:v>Sub2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Comparación'!$L$6:$L$25</c:f>
              <c:numCache>
                <c:formatCode>0</c:formatCode>
                <c:ptCount val="20"/>
                <c:pt idx="0">
                  <c:v>0</c:v>
                </c:pt>
                <c:pt idx="1">
                  <c:v>13</c:v>
                </c:pt>
                <c:pt idx="2">
                  <c:v>100</c:v>
                </c:pt>
                <c:pt idx="3">
                  <c:v>77</c:v>
                </c:pt>
                <c:pt idx="4">
                  <c:v>50</c:v>
                </c:pt>
                <c:pt idx="5">
                  <c:v>0</c:v>
                </c:pt>
                <c:pt idx="6">
                  <c:v>31</c:v>
                </c:pt>
                <c:pt idx="7">
                  <c:v>0</c:v>
                </c:pt>
                <c:pt idx="8">
                  <c:v>11</c:v>
                </c:pt>
                <c:pt idx="9">
                  <c:v>17</c:v>
                </c:pt>
                <c:pt idx="10">
                  <c:v>0</c:v>
                </c:pt>
                <c:pt idx="11">
                  <c:v>0</c:v>
                </c:pt>
                <c:pt idx="12">
                  <c:v>15</c:v>
                </c:pt>
                <c:pt idx="13">
                  <c:v>6</c:v>
                </c:pt>
                <c:pt idx="14">
                  <c:v>17</c:v>
                </c:pt>
                <c:pt idx="15">
                  <c:v>0</c:v>
                </c:pt>
                <c:pt idx="16">
                  <c:v>0</c:v>
                </c:pt>
                <c:pt idx="17">
                  <c:v>0</c:v>
                </c:pt>
                <c:pt idx="18">
                  <c:v>17</c:v>
                </c:pt>
                <c:pt idx="19">
                  <c:v>11</c:v>
                </c:pt>
              </c:numCache>
            </c:numRef>
          </c:val>
        </c:ser>
        <c:gapWidth val="120"/>
        <c:overlap val="0"/>
        <c:axId val="82180310"/>
        <c:axId val="3305433"/>
      </c:barChart>
      <c:catAx>
        <c:axId val="8218031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05433"/>
        <c:crosses val="autoZero"/>
        <c:auto val="1"/>
        <c:lblAlgn val="ctr"/>
        <c:lblOffset val="100"/>
        <c:noMultiLvlLbl val="0"/>
      </c:catAx>
      <c:valAx>
        <c:axId val="33054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18031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V1 · Tipos de proceso — 2025 (f. nueva) vs 2026</a:t>
            </a:r>
          </a:p>
        </c:rich>
      </c:tx>
      <c:overlay val="0"/>
      <c:spPr>
        <a:noFill/>
        <a:ln w="0">
          <a:noFill/>
        </a:ln>
      </c:spPr>
    </c:title>
    <c:autoTitleDeleted val="0"/>
    <c:plotArea>
      <c:barChart>
        <c:barDir val="col"/>
        <c:grouping val="clustered"/>
        <c:varyColors val="0"/>
        <c:ser>
          <c:idx val="0"/>
          <c:order val="0"/>
          <c:tx>
            <c:strRef>
              <c:f>'4 · Comparación'!M5</c:f>
              <c:strCache>
                <c:ptCount val="1"/>
                <c:pt idx="0">
                  <c:v>V1 Tipos 2025n</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Comparación'!$M$6:$M$25</c:f>
              <c:numCache>
                <c:formatCode>0.0</c:formatCode>
                <c:ptCount val="20"/>
                <c:pt idx="0">
                  <c:v>0</c:v>
                </c:pt>
                <c:pt idx="1">
                  <c:v>20</c:v>
                </c:pt>
                <c:pt idx="2">
                  <c:v>20</c:v>
                </c:pt>
                <c:pt idx="3">
                  <c:v>20</c:v>
                </c:pt>
                <c:pt idx="4">
                  <c:v>60</c:v>
                </c:pt>
                <c:pt idx="5">
                  <c:v>20</c:v>
                </c:pt>
                <c:pt idx="6">
                  <c:v>0</c:v>
                </c:pt>
                <c:pt idx="7">
                  <c:v>20</c:v>
                </c:pt>
                <c:pt idx="8">
                  <c:v>20</c:v>
                </c:pt>
                <c:pt idx="9">
                  <c:v>20</c:v>
                </c:pt>
                <c:pt idx="10">
                  <c:v>20</c:v>
                </c:pt>
                <c:pt idx="11">
                  <c:v>0</c:v>
                </c:pt>
                <c:pt idx="12">
                  <c:v>40</c:v>
                </c:pt>
                <c:pt idx="13">
                  <c:v>0</c:v>
                </c:pt>
                <c:pt idx="14">
                  <c:v>40</c:v>
                </c:pt>
                <c:pt idx="15">
                  <c:v>0</c:v>
                </c:pt>
                <c:pt idx="16">
                  <c:v>0</c:v>
                </c:pt>
                <c:pt idx="17">
                  <c:v>0</c:v>
                </c:pt>
                <c:pt idx="18">
                  <c:v>0</c:v>
                </c:pt>
                <c:pt idx="19">
                  <c:v>0</c:v>
                </c:pt>
              </c:numCache>
            </c:numRef>
          </c:val>
        </c:ser>
        <c:ser>
          <c:idx val="1"/>
          <c:order val="1"/>
          <c:tx>
            <c:strRef>
              <c:f>'4 · Comparación'!N5</c:f>
              <c:strCache>
                <c:ptCount val="1"/>
                <c:pt idx="0">
                  <c:v>V1 Tipos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Comparación'!$N$6:$N$25</c:f>
              <c:numCache>
                <c:formatCode>0.0</c:formatCode>
                <c:ptCount val="20"/>
                <c:pt idx="0">
                  <c:v>0</c:v>
                </c:pt>
                <c:pt idx="1">
                  <c:v>20</c:v>
                </c:pt>
                <c:pt idx="2">
                  <c:v>100</c:v>
                </c:pt>
                <c:pt idx="3">
                  <c:v>60</c:v>
                </c:pt>
                <c:pt idx="4">
                  <c:v>60</c:v>
                </c:pt>
                <c:pt idx="5">
                  <c:v>0</c:v>
                </c:pt>
                <c:pt idx="6">
                  <c:v>40</c:v>
                </c:pt>
                <c:pt idx="7">
                  <c:v>0</c:v>
                </c:pt>
                <c:pt idx="8">
                  <c:v>20</c:v>
                </c:pt>
                <c:pt idx="9">
                  <c:v>20</c:v>
                </c:pt>
                <c:pt idx="10">
                  <c:v>0</c:v>
                </c:pt>
                <c:pt idx="11">
                  <c:v>0</c:v>
                </c:pt>
                <c:pt idx="12">
                  <c:v>20</c:v>
                </c:pt>
                <c:pt idx="13">
                  <c:v>20</c:v>
                </c:pt>
                <c:pt idx="14">
                  <c:v>20</c:v>
                </c:pt>
                <c:pt idx="15">
                  <c:v>0</c:v>
                </c:pt>
                <c:pt idx="16">
                  <c:v>0</c:v>
                </c:pt>
                <c:pt idx="17">
                  <c:v>0</c:v>
                </c:pt>
                <c:pt idx="18">
                  <c:v>20</c:v>
                </c:pt>
                <c:pt idx="19">
                  <c:v>20</c:v>
                </c:pt>
              </c:numCache>
            </c:numRef>
          </c:val>
        </c:ser>
        <c:gapWidth val="120"/>
        <c:overlap val="0"/>
        <c:axId val="27233817"/>
        <c:axId val="49804073"/>
      </c:barChart>
      <c:catAx>
        <c:axId val="272338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804073"/>
        <c:crosses val="autoZero"/>
        <c:auto val="1"/>
        <c:lblAlgn val="ctr"/>
        <c:lblOffset val="100"/>
        <c:noMultiLvlLbl val="0"/>
      </c:catAx>
      <c:valAx>
        <c:axId val="498040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338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V2 · Etapas de uso — 2025 (f. nueva) vs 2026</a:t>
            </a:r>
          </a:p>
        </c:rich>
      </c:tx>
      <c:overlay val="0"/>
      <c:spPr>
        <a:noFill/>
        <a:ln w="0">
          <a:noFill/>
        </a:ln>
      </c:spPr>
    </c:title>
    <c:autoTitleDeleted val="0"/>
    <c:plotArea>
      <c:barChart>
        <c:barDir val="col"/>
        <c:grouping val="clustered"/>
        <c:varyColors val="0"/>
        <c:ser>
          <c:idx val="0"/>
          <c:order val="0"/>
          <c:tx>
            <c:strRef>
              <c:f>'4 · Comparación'!O5</c:f>
              <c:strCache>
                <c:ptCount val="1"/>
                <c:pt idx="0">
                  <c:v>V2 Etapas 2025n</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Comparación'!$O$6:$O$25</c:f>
              <c:numCache>
                <c:formatCode>0.0</c:formatCode>
                <c:ptCount val="20"/>
                <c:pt idx="0">
                  <c:v>0</c:v>
                </c:pt>
                <c:pt idx="1">
                  <c:v>50</c:v>
                </c:pt>
                <c:pt idx="2">
                  <c:v>75</c:v>
                </c:pt>
                <c:pt idx="3">
                  <c:v>50</c:v>
                </c:pt>
                <c:pt idx="4">
                  <c:v>50</c:v>
                </c:pt>
                <c:pt idx="5">
                  <c:v>50</c:v>
                </c:pt>
                <c:pt idx="6">
                  <c:v>0</c:v>
                </c:pt>
                <c:pt idx="7">
                  <c:v>25</c:v>
                </c:pt>
                <c:pt idx="8">
                  <c:v>25</c:v>
                </c:pt>
                <c:pt idx="9">
                  <c:v>25</c:v>
                </c:pt>
                <c:pt idx="10">
                  <c:v>25</c:v>
                </c:pt>
                <c:pt idx="11">
                  <c:v>0</c:v>
                </c:pt>
                <c:pt idx="12">
                  <c:v>25</c:v>
                </c:pt>
                <c:pt idx="13">
                  <c:v>0</c:v>
                </c:pt>
                <c:pt idx="14">
                  <c:v>50</c:v>
                </c:pt>
                <c:pt idx="15">
                  <c:v>0</c:v>
                </c:pt>
                <c:pt idx="16">
                  <c:v>0</c:v>
                </c:pt>
                <c:pt idx="17">
                  <c:v>0</c:v>
                </c:pt>
                <c:pt idx="18">
                  <c:v>0</c:v>
                </c:pt>
                <c:pt idx="19">
                  <c:v>0</c:v>
                </c:pt>
              </c:numCache>
            </c:numRef>
          </c:val>
        </c:ser>
        <c:ser>
          <c:idx val="1"/>
          <c:order val="1"/>
          <c:tx>
            <c:strRef>
              <c:f>'4 · Comparación'!P5</c:f>
              <c:strCache>
                <c:ptCount val="1"/>
                <c:pt idx="0">
                  <c:v>V2 Etapas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Comparación'!$P$6:$P$25</c:f>
              <c:numCache>
                <c:formatCode>0.0</c:formatCode>
                <c:ptCount val="20"/>
                <c:pt idx="0">
                  <c:v>0</c:v>
                </c:pt>
                <c:pt idx="1">
                  <c:v>50</c:v>
                </c:pt>
                <c:pt idx="2">
                  <c:v>75</c:v>
                </c:pt>
                <c:pt idx="3">
                  <c:v>75</c:v>
                </c:pt>
                <c:pt idx="4">
                  <c:v>50</c:v>
                </c:pt>
                <c:pt idx="5">
                  <c:v>0</c:v>
                </c:pt>
                <c:pt idx="6">
                  <c:v>25</c:v>
                </c:pt>
                <c:pt idx="7">
                  <c:v>0</c:v>
                </c:pt>
                <c:pt idx="8">
                  <c:v>25</c:v>
                </c:pt>
                <c:pt idx="9">
                  <c:v>50</c:v>
                </c:pt>
                <c:pt idx="10">
                  <c:v>0</c:v>
                </c:pt>
                <c:pt idx="11">
                  <c:v>0</c:v>
                </c:pt>
                <c:pt idx="12">
                  <c:v>25</c:v>
                </c:pt>
                <c:pt idx="13">
                  <c:v>25</c:v>
                </c:pt>
                <c:pt idx="14">
                  <c:v>25</c:v>
                </c:pt>
                <c:pt idx="15">
                  <c:v>0</c:v>
                </c:pt>
                <c:pt idx="16">
                  <c:v>0</c:v>
                </c:pt>
                <c:pt idx="17">
                  <c:v>0</c:v>
                </c:pt>
                <c:pt idx="18">
                  <c:v>25</c:v>
                </c:pt>
                <c:pt idx="19">
                  <c:v>25</c:v>
                </c:pt>
              </c:numCache>
            </c:numRef>
          </c:val>
        </c:ser>
        <c:gapWidth val="120"/>
        <c:overlap val="0"/>
        <c:axId val="78074393"/>
        <c:axId val="42810249"/>
      </c:barChart>
      <c:catAx>
        <c:axId val="7807439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10249"/>
        <c:crosses val="autoZero"/>
        <c:auto val="1"/>
        <c:lblAlgn val="ctr"/>
        <c:lblOffset val="100"/>
        <c:noMultiLvlLbl val="0"/>
      </c:catAx>
      <c:valAx>
        <c:axId val="4281024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7439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V3 · Continuidad (nivel máximo) — 2025 (f. nueva) vs 2026</a:t>
            </a:r>
          </a:p>
        </c:rich>
      </c:tx>
      <c:overlay val="0"/>
      <c:spPr>
        <a:noFill/>
        <a:ln w="0">
          <a:noFill/>
        </a:ln>
      </c:spPr>
    </c:title>
    <c:autoTitleDeleted val="0"/>
    <c:plotArea>
      <c:barChart>
        <c:barDir val="col"/>
        <c:grouping val="clustered"/>
        <c:varyColors val="0"/>
        <c:ser>
          <c:idx val="0"/>
          <c:order val="0"/>
          <c:tx>
            <c:strRef>
              <c:f>'4 · Comparación'!Q5</c:f>
              <c:strCache>
                <c:ptCount val="1"/>
                <c:pt idx="0">
                  <c:v>V3 Continuidad 2025n</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Comparación'!$Q$6:$Q$25</c:f>
              <c:numCache>
                <c:formatCode>0.0</c:formatCode>
                <c:ptCount val="20"/>
                <c:pt idx="0">
                  <c:v>0</c:v>
                </c:pt>
                <c:pt idx="1">
                  <c:v>66.6666666666667</c:v>
                </c:pt>
                <c:pt idx="2">
                  <c:v>66.6666666666667</c:v>
                </c:pt>
                <c:pt idx="3">
                  <c:v>66.6666666666667</c:v>
                </c:pt>
                <c:pt idx="4">
                  <c:v>66.6666666666667</c:v>
                </c:pt>
                <c:pt idx="5">
                  <c:v>66.6666666666667</c:v>
                </c:pt>
                <c:pt idx="6">
                  <c:v>0</c:v>
                </c:pt>
                <c:pt idx="7">
                  <c:v>66.6666666666667</c:v>
                </c:pt>
                <c:pt idx="8">
                  <c:v>66.6666666666667</c:v>
                </c:pt>
                <c:pt idx="9">
                  <c:v>66.6666666666667</c:v>
                </c:pt>
                <c:pt idx="10">
                  <c:v>66.6666666666667</c:v>
                </c:pt>
                <c:pt idx="11">
                  <c:v>0</c:v>
                </c:pt>
                <c:pt idx="12">
                  <c:v>66.6666666666667</c:v>
                </c:pt>
                <c:pt idx="13">
                  <c:v>0</c:v>
                </c:pt>
                <c:pt idx="14">
                  <c:v>66.6666666666667</c:v>
                </c:pt>
                <c:pt idx="15">
                  <c:v>0</c:v>
                </c:pt>
                <c:pt idx="16">
                  <c:v>0</c:v>
                </c:pt>
                <c:pt idx="17">
                  <c:v>0</c:v>
                </c:pt>
                <c:pt idx="18">
                  <c:v>0</c:v>
                </c:pt>
                <c:pt idx="19">
                  <c:v>0</c:v>
                </c:pt>
              </c:numCache>
            </c:numRef>
          </c:val>
        </c:ser>
        <c:ser>
          <c:idx val="1"/>
          <c:order val="1"/>
          <c:tx>
            <c:strRef>
              <c:f>'4 · Comparación'!R5</c:f>
              <c:strCache>
                <c:ptCount val="1"/>
                <c:pt idx="0">
                  <c:v>V3 Continuidad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Comparación'!$R$6:$R$25</c:f>
              <c:numCache>
                <c:formatCode>0.0</c:formatCode>
                <c:ptCount val="20"/>
                <c:pt idx="0">
                  <c:v>0</c:v>
                </c:pt>
                <c:pt idx="1">
                  <c:v>66.7</c:v>
                </c:pt>
                <c:pt idx="2">
                  <c:v>100</c:v>
                </c:pt>
                <c:pt idx="3">
                  <c:v>66.7</c:v>
                </c:pt>
                <c:pt idx="4">
                  <c:v>66.7</c:v>
                </c:pt>
                <c:pt idx="5">
                  <c:v>0</c:v>
                </c:pt>
                <c:pt idx="6">
                  <c:v>66.7</c:v>
                </c:pt>
                <c:pt idx="7">
                  <c:v>0</c:v>
                </c:pt>
                <c:pt idx="8">
                  <c:v>66.7</c:v>
                </c:pt>
                <c:pt idx="9">
                  <c:v>66.7</c:v>
                </c:pt>
                <c:pt idx="10">
                  <c:v>0</c:v>
                </c:pt>
                <c:pt idx="11">
                  <c:v>0</c:v>
                </c:pt>
                <c:pt idx="12">
                  <c:v>66.7</c:v>
                </c:pt>
                <c:pt idx="13">
                  <c:v>66.7</c:v>
                </c:pt>
                <c:pt idx="14">
                  <c:v>66.7</c:v>
                </c:pt>
                <c:pt idx="15">
                  <c:v>0</c:v>
                </c:pt>
                <c:pt idx="16">
                  <c:v>0</c:v>
                </c:pt>
                <c:pt idx="17">
                  <c:v>0</c:v>
                </c:pt>
                <c:pt idx="18">
                  <c:v>66.7</c:v>
                </c:pt>
                <c:pt idx="19">
                  <c:v>33.3</c:v>
                </c:pt>
              </c:numCache>
            </c:numRef>
          </c:val>
        </c:ser>
        <c:gapWidth val="120"/>
        <c:overlap val="0"/>
        <c:axId val="12012004"/>
        <c:axId val="69069232"/>
      </c:barChart>
      <c:catAx>
        <c:axId val="1201200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69232"/>
        <c:crosses val="autoZero"/>
        <c:auto val="1"/>
        <c:lblAlgn val="ctr"/>
        <c:lblOffset val="100"/>
        <c:noMultiLvlLbl val="0"/>
      </c:catAx>
      <c:valAx>
        <c:axId val="690692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0120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V4 · Organización convocante — 2025 (f. nueva) vs 2026</a:t>
            </a:r>
          </a:p>
        </c:rich>
      </c:tx>
      <c:overlay val="0"/>
      <c:spPr>
        <a:noFill/>
        <a:ln w="0">
          <a:noFill/>
        </a:ln>
      </c:spPr>
    </c:title>
    <c:autoTitleDeleted val="0"/>
    <c:plotArea>
      <c:barChart>
        <c:barDir val="col"/>
        <c:grouping val="clustered"/>
        <c:varyColors val="0"/>
        <c:ser>
          <c:idx val="0"/>
          <c:order val="0"/>
          <c:tx>
            <c:strRef>
              <c:f>'4 · Comparación'!S5</c:f>
              <c:strCache>
                <c:ptCount val="1"/>
                <c:pt idx="0">
                  <c:v>V4 Convocante 2025n</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Comparación'!$S$6:$S$25</c:f>
              <c:numCache>
                <c:formatCode>0.0</c:formatCode>
                <c:ptCount val="20"/>
                <c:pt idx="0">
                  <c:v>0</c:v>
                </c:pt>
                <c:pt idx="1">
                  <c:v>36.1111111111111</c:v>
                </c:pt>
                <c:pt idx="2">
                  <c:v>38.8888888888889</c:v>
                </c:pt>
                <c:pt idx="3">
                  <c:v>63.8888888888889</c:v>
                </c:pt>
                <c:pt idx="4">
                  <c:v>88.8888888888889</c:v>
                </c:pt>
                <c:pt idx="5">
                  <c:v>19.4444444444444</c:v>
                </c:pt>
                <c:pt idx="6">
                  <c:v>0</c:v>
                </c:pt>
                <c:pt idx="7">
                  <c:v>44.4444444444444</c:v>
                </c:pt>
                <c:pt idx="8">
                  <c:v>36.1111111111111</c:v>
                </c:pt>
                <c:pt idx="9">
                  <c:v>33.3333333333333</c:v>
                </c:pt>
                <c:pt idx="10">
                  <c:v>33.3333333333333</c:v>
                </c:pt>
                <c:pt idx="11">
                  <c:v>0</c:v>
                </c:pt>
                <c:pt idx="12">
                  <c:v>19.4444444444444</c:v>
                </c:pt>
                <c:pt idx="13">
                  <c:v>0</c:v>
                </c:pt>
                <c:pt idx="14">
                  <c:v>22.2222222222222</c:v>
                </c:pt>
                <c:pt idx="15">
                  <c:v>0</c:v>
                </c:pt>
                <c:pt idx="16">
                  <c:v>0</c:v>
                </c:pt>
                <c:pt idx="17">
                  <c:v>0</c:v>
                </c:pt>
                <c:pt idx="18">
                  <c:v>0</c:v>
                </c:pt>
                <c:pt idx="19">
                  <c:v>0</c:v>
                </c:pt>
              </c:numCache>
            </c:numRef>
          </c:val>
        </c:ser>
        <c:ser>
          <c:idx val="1"/>
          <c:order val="1"/>
          <c:tx>
            <c:strRef>
              <c:f>'4 · Comparación'!T5</c:f>
              <c:strCache>
                <c:ptCount val="1"/>
                <c:pt idx="0">
                  <c:v>V4 Convocante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Comparación'!$T$6:$T$25</c:f>
              <c:numCache>
                <c:formatCode>0.0</c:formatCode>
                <c:ptCount val="20"/>
                <c:pt idx="0">
                  <c:v>0</c:v>
                </c:pt>
                <c:pt idx="1">
                  <c:v>36.1</c:v>
                </c:pt>
                <c:pt idx="2">
                  <c:v>55.6</c:v>
                </c:pt>
                <c:pt idx="3">
                  <c:v>69.4</c:v>
                </c:pt>
                <c:pt idx="4">
                  <c:v>77.8</c:v>
                </c:pt>
                <c:pt idx="5">
                  <c:v>0</c:v>
                </c:pt>
                <c:pt idx="6">
                  <c:v>11.1</c:v>
                </c:pt>
                <c:pt idx="7">
                  <c:v>0</c:v>
                </c:pt>
                <c:pt idx="8">
                  <c:v>36.1</c:v>
                </c:pt>
                <c:pt idx="9">
                  <c:v>33.3</c:v>
                </c:pt>
                <c:pt idx="10">
                  <c:v>0</c:v>
                </c:pt>
                <c:pt idx="11">
                  <c:v>0</c:v>
                </c:pt>
                <c:pt idx="12">
                  <c:v>11.1</c:v>
                </c:pt>
                <c:pt idx="13">
                  <c:v>36.1</c:v>
                </c:pt>
                <c:pt idx="14">
                  <c:v>11.1</c:v>
                </c:pt>
                <c:pt idx="15">
                  <c:v>0</c:v>
                </c:pt>
                <c:pt idx="16">
                  <c:v>0</c:v>
                </c:pt>
                <c:pt idx="17">
                  <c:v>0</c:v>
                </c:pt>
                <c:pt idx="18">
                  <c:v>8.3</c:v>
                </c:pt>
                <c:pt idx="19">
                  <c:v>11.1</c:v>
                </c:pt>
              </c:numCache>
            </c:numRef>
          </c:val>
        </c:ser>
        <c:gapWidth val="120"/>
        <c:overlap val="0"/>
        <c:axId val="45345702"/>
        <c:axId val="76083658"/>
      </c:barChart>
      <c:catAx>
        <c:axId val="4534570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083658"/>
        <c:crosses val="autoZero"/>
        <c:auto val="1"/>
        <c:lblAlgn val="ctr"/>
        <c:lblOffset val="100"/>
        <c:noMultiLvlLbl val="0"/>
      </c:catAx>
      <c:valAx>
        <c:axId val="760836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34570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V5 · Cantidad de iniciativas — 2025 (f. nueva) vs 2026</a:t>
            </a:r>
          </a:p>
        </c:rich>
      </c:tx>
      <c:overlay val="0"/>
      <c:spPr>
        <a:noFill/>
        <a:ln w="0">
          <a:noFill/>
        </a:ln>
      </c:spPr>
    </c:title>
    <c:autoTitleDeleted val="0"/>
    <c:plotArea>
      <c:barChart>
        <c:barDir val="col"/>
        <c:grouping val="clustered"/>
        <c:varyColors val="0"/>
        <c:ser>
          <c:idx val="0"/>
          <c:order val="0"/>
          <c:tx>
            <c:strRef>
              <c:f>'4 · Comparación'!U5</c:f>
              <c:strCache>
                <c:ptCount val="1"/>
                <c:pt idx="0">
                  <c:v>V5 Cantidad 2025n</c:v>
                </c:pt>
              </c:strCache>
            </c:strRef>
          </c:tx>
          <c:spPr>
            <a:solidFill>
              <a:srgbClr val="0083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Comparación'!$U$6:$U$25</c:f>
              <c:numCache>
                <c:formatCode>0.0</c:formatCode>
                <c:ptCount val="20"/>
                <c:pt idx="0">
                  <c:v>0</c:v>
                </c:pt>
                <c:pt idx="1">
                  <c:v>25</c:v>
                </c:pt>
                <c:pt idx="2">
                  <c:v>50</c:v>
                </c:pt>
                <c:pt idx="3">
                  <c:v>75</c:v>
                </c:pt>
                <c:pt idx="4">
                  <c:v>50</c:v>
                </c:pt>
                <c:pt idx="5">
                  <c:v>25</c:v>
                </c:pt>
                <c:pt idx="6">
                  <c:v>0</c:v>
                </c:pt>
                <c:pt idx="7">
                  <c:v>25</c:v>
                </c:pt>
                <c:pt idx="8">
                  <c:v>25</c:v>
                </c:pt>
                <c:pt idx="9">
                  <c:v>25</c:v>
                </c:pt>
                <c:pt idx="10">
                  <c:v>25</c:v>
                </c:pt>
                <c:pt idx="11">
                  <c:v>0</c:v>
                </c:pt>
                <c:pt idx="12">
                  <c:v>25</c:v>
                </c:pt>
                <c:pt idx="13">
                  <c:v>0</c:v>
                </c:pt>
                <c:pt idx="14">
                  <c:v>25</c:v>
                </c:pt>
                <c:pt idx="15">
                  <c:v>0</c:v>
                </c:pt>
                <c:pt idx="16">
                  <c:v>0</c:v>
                </c:pt>
                <c:pt idx="17">
                  <c:v>0</c:v>
                </c:pt>
                <c:pt idx="18">
                  <c:v>0</c:v>
                </c:pt>
                <c:pt idx="19">
                  <c:v>0</c:v>
                </c:pt>
              </c:numCache>
            </c:numRef>
          </c:val>
        </c:ser>
        <c:ser>
          <c:idx val="1"/>
          <c:order val="1"/>
          <c:tx>
            <c:strRef>
              <c:f>'4 · Comparación'!V5</c:f>
              <c:strCache>
                <c:ptCount val="1"/>
                <c:pt idx="0">
                  <c:v>V5 Cantidad 2026</c:v>
                </c:pt>
              </c:strCache>
            </c:strRef>
          </c:tx>
          <c:spPr>
            <a:solidFill>
              <a:srgbClr val="e87ba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 Comparación'!$A$6:$A$25</c:f>
              <c:strCache>
                <c:ptCount val="20"/>
                <c:pt idx="0">
                  <c:v>AR</c:v>
                </c:pt>
                <c:pt idx="1">
                  <c:v>BO</c:v>
                </c:pt>
                <c:pt idx="2">
                  <c:v>BR</c:v>
                </c:pt>
                <c:pt idx="3">
                  <c:v>CL</c:v>
                </c:pt>
                <c:pt idx="4">
                  <c:v>CO</c:v>
                </c:pt>
                <c:pt idx="5">
                  <c:v>CR</c:v>
                </c:pt>
                <c:pt idx="6">
                  <c:v>CU</c:v>
                </c:pt>
                <c:pt idx="7">
                  <c:v>DO</c:v>
                </c:pt>
                <c:pt idx="8">
                  <c:v>EC</c:v>
                </c:pt>
                <c:pt idx="9">
                  <c:v>GT</c:v>
                </c:pt>
                <c:pt idx="10">
                  <c:v>HN</c:v>
                </c:pt>
                <c:pt idx="11">
                  <c:v>JM</c:v>
                </c:pt>
                <c:pt idx="12">
                  <c:v>MX</c:v>
                </c:pt>
                <c:pt idx="13">
                  <c:v>PA</c:v>
                </c:pt>
                <c:pt idx="14">
                  <c:v>PE</c:v>
                </c:pt>
                <c:pt idx="15">
                  <c:v>PY</c:v>
                </c:pt>
                <c:pt idx="16">
                  <c:v>SV</c:v>
                </c:pt>
                <c:pt idx="17">
                  <c:v>TT</c:v>
                </c:pt>
                <c:pt idx="18">
                  <c:v>UY</c:v>
                </c:pt>
                <c:pt idx="19">
                  <c:v>VE</c:v>
                </c:pt>
              </c:strCache>
            </c:strRef>
          </c:cat>
          <c:val>
            <c:numRef>
              <c:f>'4 · Comparación'!$V$6:$V$25</c:f>
              <c:numCache>
                <c:formatCode>0.0</c:formatCode>
                <c:ptCount val="20"/>
                <c:pt idx="0">
                  <c:v>0</c:v>
                </c:pt>
                <c:pt idx="1">
                  <c:v>25</c:v>
                </c:pt>
                <c:pt idx="2">
                  <c:v>75</c:v>
                </c:pt>
                <c:pt idx="3">
                  <c:v>75</c:v>
                </c:pt>
                <c:pt idx="4">
                  <c:v>25</c:v>
                </c:pt>
                <c:pt idx="5">
                  <c:v>0</c:v>
                </c:pt>
                <c:pt idx="6">
                  <c:v>25</c:v>
                </c:pt>
                <c:pt idx="7">
                  <c:v>0</c:v>
                </c:pt>
                <c:pt idx="8">
                  <c:v>25</c:v>
                </c:pt>
                <c:pt idx="9">
                  <c:v>25</c:v>
                </c:pt>
                <c:pt idx="10">
                  <c:v>0</c:v>
                </c:pt>
                <c:pt idx="11">
                  <c:v>0</c:v>
                </c:pt>
                <c:pt idx="12">
                  <c:v>25</c:v>
                </c:pt>
                <c:pt idx="13">
                  <c:v>25</c:v>
                </c:pt>
                <c:pt idx="14">
                  <c:v>25</c:v>
                </c:pt>
                <c:pt idx="15">
                  <c:v>0</c:v>
                </c:pt>
                <c:pt idx="16">
                  <c:v>0</c:v>
                </c:pt>
                <c:pt idx="17">
                  <c:v>0</c:v>
                </c:pt>
                <c:pt idx="18">
                  <c:v>25</c:v>
                </c:pt>
                <c:pt idx="19">
                  <c:v>25</c:v>
                </c:pt>
              </c:numCache>
            </c:numRef>
          </c:val>
        </c:ser>
        <c:gapWidth val="120"/>
        <c:overlap val="0"/>
        <c:axId val="95539531"/>
        <c:axId val="84749524"/>
      </c:barChart>
      <c:catAx>
        <c:axId val="9553953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País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49524"/>
        <c:crosses val="autoZero"/>
        <c:auto val="1"/>
        <c:lblAlgn val="ctr"/>
        <c:lblOffset val="100"/>
        <c:noMultiLvlLbl val="0"/>
      </c:catAx>
      <c:valAx>
        <c:axId val="847495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Puntaje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53953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9</xdr:col>
      <xdr:colOff>730080</xdr:colOff>
      <xdr:row>19</xdr:row>
      <xdr:rowOff>73080</xdr:rowOff>
    </xdr:to>
    <xdr:graphicFrame>
      <xdr:nvGraphicFramePr>
        <xdr:cNvPr id="0" name="Chart 1"/>
        <xdr:cNvGraphicFramePr/>
      </xdr:nvGraphicFramePr>
      <xdr:xfrm>
        <a:off x="0" y="380880"/>
        <a:ext cx="7559640" cy="331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0</xdr:rowOff>
    </xdr:from>
    <xdr:to>
      <xdr:col>9</xdr:col>
      <xdr:colOff>730080</xdr:colOff>
      <xdr:row>38</xdr:row>
      <xdr:rowOff>73440</xdr:rowOff>
    </xdr:to>
    <xdr:graphicFrame>
      <xdr:nvGraphicFramePr>
        <xdr:cNvPr id="1" name="Chart 2"/>
        <xdr:cNvGraphicFramePr/>
      </xdr:nvGraphicFramePr>
      <xdr:xfrm>
        <a:off x="0" y="4000680"/>
        <a:ext cx="7559640" cy="331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40</xdr:row>
      <xdr:rowOff>0</xdr:rowOff>
    </xdr:from>
    <xdr:to>
      <xdr:col>9</xdr:col>
      <xdr:colOff>730080</xdr:colOff>
      <xdr:row>57</xdr:row>
      <xdr:rowOff>73080</xdr:rowOff>
    </xdr:to>
    <xdr:graphicFrame>
      <xdr:nvGraphicFramePr>
        <xdr:cNvPr id="2" name="Chart 3"/>
        <xdr:cNvGraphicFramePr/>
      </xdr:nvGraphicFramePr>
      <xdr:xfrm>
        <a:off x="0" y="7620120"/>
        <a:ext cx="7559640" cy="331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59</xdr:row>
      <xdr:rowOff>0</xdr:rowOff>
    </xdr:from>
    <xdr:to>
      <xdr:col>9</xdr:col>
      <xdr:colOff>730080</xdr:colOff>
      <xdr:row>76</xdr:row>
      <xdr:rowOff>73080</xdr:rowOff>
    </xdr:to>
    <xdr:graphicFrame>
      <xdr:nvGraphicFramePr>
        <xdr:cNvPr id="3" name="Chart 4"/>
        <xdr:cNvGraphicFramePr/>
      </xdr:nvGraphicFramePr>
      <xdr:xfrm>
        <a:off x="0" y="11239560"/>
        <a:ext cx="7559640" cy="331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78</xdr:row>
      <xdr:rowOff>0</xdr:rowOff>
    </xdr:from>
    <xdr:to>
      <xdr:col>9</xdr:col>
      <xdr:colOff>730080</xdr:colOff>
      <xdr:row>95</xdr:row>
      <xdr:rowOff>73080</xdr:rowOff>
    </xdr:to>
    <xdr:graphicFrame>
      <xdr:nvGraphicFramePr>
        <xdr:cNvPr id="4" name="Chart 5"/>
        <xdr:cNvGraphicFramePr/>
      </xdr:nvGraphicFramePr>
      <xdr:xfrm>
        <a:off x="0" y="14859000"/>
        <a:ext cx="7559640" cy="331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97</xdr:row>
      <xdr:rowOff>0</xdr:rowOff>
    </xdr:from>
    <xdr:to>
      <xdr:col>9</xdr:col>
      <xdr:colOff>730080</xdr:colOff>
      <xdr:row>114</xdr:row>
      <xdr:rowOff>73080</xdr:rowOff>
    </xdr:to>
    <xdr:graphicFrame>
      <xdr:nvGraphicFramePr>
        <xdr:cNvPr id="5" name="Chart 6"/>
        <xdr:cNvGraphicFramePr/>
      </xdr:nvGraphicFramePr>
      <xdr:xfrm>
        <a:off x="0" y="18478440"/>
        <a:ext cx="7559640" cy="331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116</xdr:row>
      <xdr:rowOff>0</xdr:rowOff>
    </xdr:from>
    <xdr:to>
      <xdr:col>9</xdr:col>
      <xdr:colOff>730080</xdr:colOff>
      <xdr:row>133</xdr:row>
      <xdr:rowOff>73080</xdr:rowOff>
    </xdr:to>
    <xdr:graphicFrame>
      <xdr:nvGraphicFramePr>
        <xdr:cNvPr id="6" name="Chart 7"/>
        <xdr:cNvGraphicFramePr/>
      </xdr:nvGraphicFramePr>
      <xdr:xfrm>
        <a:off x="0" y="22097880"/>
        <a:ext cx="7559640" cy="331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135</xdr:row>
      <xdr:rowOff>0</xdr:rowOff>
    </xdr:from>
    <xdr:to>
      <xdr:col>9</xdr:col>
      <xdr:colOff>730080</xdr:colOff>
      <xdr:row>152</xdr:row>
      <xdr:rowOff>73440</xdr:rowOff>
    </xdr:to>
    <xdr:graphicFrame>
      <xdr:nvGraphicFramePr>
        <xdr:cNvPr id="7" name="Chart 8"/>
        <xdr:cNvGraphicFramePr/>
      </xdr:nvGraphicFramePr>
      <xdr:xfrm>
        <a:off x="0" y="25717680"/>
        <a:ext cx="7559640" cy="331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
    <col collapsed="false" customWidth="true" hidden="false" outlineLevel="0" max="4" min="4" style="0" width="45"/>
    <col collapsed="false" customWidth="true" hidden="false" outlineLevel="0" max="5" min="5" style="0" width="30"/>
    <col collapsed="false" customWidth="true" hidden="false" outlineLevel="0" max="6" min="6" style="0" width="12"/>
    <col collapsed="false" customWidth="true" hidden="false" outlineLevel="0" max="7" min="7" style="0" width="22"/>
    <col collapsed="false" customWidth="true" hidden="false" outlineLevel="0" max="8" min="8" style="0" width="18"/>
    <col collapsed="false" customWidth="true" hidden="false" outlineLevel="0" max="9" min="9" style="0" width="12"/>
    <col collapsed="false" customWidth="true" hidden="false" outlineLevel="0" max="10" min="10" style="0" width="16"/>
    <col collapsed="false" customWidth="true" hidden="false" outlineLevel="0" max="11" min="11" style="0" width="14"/>
    <col collapsed="false" customWidth="true" hidden="false" outlineLevel="0" max="12" min="12" style="0" width="22"/>
    <col collapsed="false" customWidth="true" hidden="false" outlineLevel="0" max="13" min="13" style="0" width="26"/>
    <col collapsed="false" customWidth="true" hidden="false" outlineLevel="0" max="14" min="14" style="0" width="12"/>
    <col collapsed="false" customWidth="true" hidden="false" outlineLevel="0" max="15" min="15" style="0" width="28"/>
    <col collapsed="false" customWidth="true" hidden="false" outlineLevel="0" max="21" min="16" style="0" width="4"/>
    <col collapsed="false" customWidth="true" hidden="false" outlineLevel="0" max="48" min="22" style="0" width="5"/>
    <col collapsed="false" customWidth="true" hidden="false" outlineLevel="0" max="49" min="49" style="0" width="9"/>
    <col collapsed="false" customWidth="true" hidden="false" outlineLevel="0" max="50" min="50" style="0" width="16"/>
    <col collapsed="false" customWidth="true" hidden="false" outlineLevel="0" max="51" min="51" style="0" width="9"/>
  </cols>
  <sheetData>
    <row r="1" customFormat="false" ht="51.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customFormat="false" ht="43.25" hidden="false" customHeight="false" outlineLevel="0" collapsed="false">
      <c r="A2" s="3" t="s">
        <v>51</v>
      </c>
      <c r="B2" s="3" t="s">
        <v>52</v>
      </c>
      <c r="C2" s="3" t="n">
        <v>2021</v>
      </c>
      <c r="D2" s="4" t="s">
        <v>53</v>
      </c>
      <c r="E2" s="4" t="s">
        <v>54</v>
      </c>
      <c r="F2" s="3" t="s">
        <v>55</v>
      </c>
      <c r="G2" s="4" t="s">
        <v>56</v>
      </c>
      <c r="H2" s="4" t="s">
        <v>57</v>
      </c>
      <c r="I2" s="3" t="s">
        <v>58</v>
      </c>
      <c r="J2" s="3" t="s">
        <v>59</v>
      </c>
      <c r="K2" s="3" t="s">
        <v>60</v>
      </c>
      <c r="L2" s="4" t="s">
        <v>61</v>
      </c>
      <c r="M2" s="4" t="s">
        <v>62</v>
      </c>
      <c r="N2" s="3" t="n">
        <v>2</v>
      </c>
      <c r="O2" s="4"/>
      <c r="P2" s="5" t="str">
        <f aca="false">";"&amp;LOWER(SUBSTITUTE(SUBSTITUTE(SUBSTITUTE(G2,"; ",";"),", ",";"),",",";"))&amp;";"</f>
        <v>;governanza colaborativa;</v>
      </c>
      <c r="Q2" s="5" t="str">
        <f aca="false">";"&amp;LOWER(SUBSTITUTE(SUBSTITUTE(SUBSTITUTE(H2,"; ",";"),", ",";"),",",";"))&amp;";"</f>
        <v>;implementación;análisis;</v>
      </c>
      <c r="R2" s="5" t="str">
        <f aca="false">";"&amp;LOWER(SUBSTITUTE(SUBSTITUTE(SUBSTITUTE(J2,"; ",";"),", ",";"),",",";"))&amp;";"</f>
        <v>;gobierno;</v>
      </c>
      <c r="S2" s="5" t="str">
        <f aca="false">";"&amp;LOWER(SUBSTITUTE(SUBSTITUTE(SUBSTITUTE(K2,"; ",";"),", ",";"),",",";"))&amp;";"</f>
        <v>;internacional;</v>
      </c>
      <c r="T2" s="5" t="str">
        <f aca="false">";"&amp;LOWER(SUBSTITUTE(SUBSTITUTE(SUBSTITUTE(L2,"; ",";"),", ",";"),",",";"))&amp;";"</f>
        <v>;nlp - tópicos;</v>
      </c>
      <c r="U2" s="5" t="str">
        <f aca="false">";"&amp;LOWER(SUBSTITUTE(SUBSTITUTE(SUBSTITUTE(M2,"; ",";"),", ",";"),",",";"))&amp;";"</f>
        <v>;gobierno nacional;organización internacional;</v>
      </c>
      <c r="V2" s="5" t="n">
        <f aca="false">IF(ISNUMBER(SEARCH(";participación digital;",P2)),1,0)</f>
        <v>0</v>
      </c>
      <c r="W2" s="5" t="n">
        <f aca="false">IF(OR(ISNUMBER(SEARCH(";governanza colaborativa;",P2)),ISNUMBER(SEARCH(";gobernanza colaborativa;",P2))),1,0)</f>
        <v>1</v>
      </c>
      <c r="X2" s="5" t="n">
        <f aca="false">IF(ISNUMBER(SEARCH(";mini públicos;",P2)),1,0)</f>
        <v>0</v>
      </c>
      <c r="Y2" s="5" t="n">
        <f aca="false">IF(ISNUMBER(SEARCH(";referendos e iniciativas populares;",P2)),1,0)</f>
        <v>0</v>
      </c>
      <c r="Z2" s="5" t="n">
        <f aca="false">IF(ISNUMBER(SEARCH(";presupuestos participativos;",P2)),1,0)</f>
        <v>0</v>
      </c>
      <c r="AA2" s="5" t="n">
        <f aca="false">IF(ISNUMBER(SEARCH("planif",Q2)),1,0)</f>
        <v>0</v>
      </c>
      <c r="AB2" s="5" t="n">
        <f aca="false">IF(ISNUMBER(SEARCH("implement",Q2)),1,0)</f>
        <v>1</v>
      </c>
      <c r="AC2" s="5" t="n">
        <f aca="false">IF(ISNUMBER(SEARCH("análisis",Q2)),1,0)</f>
        <v>1</v>
      </c>
      <c r="AD2" s="5" t="n">
        <f aca="false">IF(ISNUMBER(SEARCH("traducción",Q2)),1,0)</f>
        <v>0</v>
      </c>
      <c r="AE2" s="5" t="n">
        <f aca="false">IF(ISNUMBER(SEARCH("público",F2)),1,0)</f>
        <v>1</v>
      </c>
      <c r="AF2" s="5" t="n">
        <f aca="false">IF(ISNUMBER(SEARCH("privado",F2)),1,0)</f>
        <v>0</v>
      </c>
      <c r="AG2" s="5" t="n">
        <f aca="false">IF(ISNUMBER(SEARCH("mixto",F2)),1,0)</f>
        <v>0</v>
      </c>
      <c r="AH2" s="5" t="n">
        <f aca="false">IF(ISNUMBER(SEARCH("único",I2)),1,0)</f>
        <v>1</v>
      </c>
      <c r="AI2" s="5" t="n">
        <f aca="false">IF(ISNUMBER(SEARCH("plataforma",I2)),1,0)</f>
        <v>0</v>
      </c>
      <c r="AJ2" s="5" t="n">
        <f aca="false">IF(ISNUMBER(SEARCH(";industria;",R2)),1,0)</f>
        <v>0</v>
      </c>
      <c r="AK2" s="5" t="n">
        <f aca="false">IF(ISNUMBER(SEARCH(";academia;",R2)),1,0)</f>
        <v>0</v>
      </c>
      <c r="AL2" s="5" t="n">
        <f aca="false">IF(ISNUMBER(SEARCH(";gobierno;",R2)),1,0)</f>
        <v>1</v>
      </c>
      <c r="AM2" s="5" t="n">
        <f aca="false">IF(ISNUMBER(SEARCH(";sociedad civil;",R2)),1,0)</f>
        <v>0</v>
      </c>
      <c r="AN2" s="5" t="n">
        <f aca="false">IF(ISNUMBER(SEARCH(";nacional;",S2)),1,0)</f>
        <v>0</v>
      </c>
      <c r="AO2" s="5" t="n">
        <f aca="false">IF(ISNUMBER(SEARCH(";internacional;",S2)),1,0)</f>
        <v>1</v>
      </c>
      <c r="AP2" s="5" t="n">
        <f aca="false">IF(ISNUMBER(SEARCH(";gobierno local;",U2)),1,0)</f>
        <v>0</v>
      </c>
      <c r="AQ2" s="5" t="n">
        <f aca="false">IF(ISNUMBER(SEARCH(";gobierno nacional;",U2)),1,0)</f>
        <v>1</v>
      </c>
      <c r="AR2" s="5" t="n">
        <f aca="false">IF(ISNUMBER(SEARCH(";otra institución pública;",U2)),1,0)</f>
        <v>0</v>
      </c>
      <c r="AS2" s="5" t="n">
        <f aca="false">IF(ISNUMBER(SEARCH(";empresa;",U2)),1,0)</f>
        <v>0</v>
      </c>
      <c r="AT2" s="5" t="n">
        <f aca="false">IF(ISNUMBER(SEARCH(";universidad;",U2)),1,0)</f>
        <v>0</v>
      </c>
      <c r="AU2" s="5" t="n">
        <f aca="false">IF(ISNUMBER(SEARCH(";sociedad civil;",U2)),1,0)</f>
        <v>0</v>
      </c>
      <c r="AV2" s="5" t="n">
        <f aca="false">IF(ISNUMBER(SEARCH(";organización internacional;",U2)),1,0)</f>
        <v>1</v>
      </c>
      <c r="AW2" s="5" t="n">
        <f aca="false">IF(N2="","",IF(AND(N2=1,('3 · Cálculo 2025 · f. nueva'!$C$25-C2)&gt;'3 · Cálculo 2025 · f. nueva'!$C$26),0,N2))</f>
        <v>2</v>
      </c>
      <c r="AX2" s="5" t="str">
        <f aca="false">IF(SUM(AP2:AV2)&lt;2,"",IF(AP2=1,"GL+","")&amp;IF(AQ2=1,"GN+","")&amp;IF(AR2=1,"OIP+","")&amp;IF(AS2=1,"EMP+","")&amp;IF(AT2=1,"UNI+","")&amp;IF(AU2=1,"SC+","")&amp;IF(AV2=1,"OI+",""))</f>
        <v>GN+OI+</v>
      </c>
      <c r="AY2" s="5" t="n">
        <f aca="false">IF(AX2="",0,IF(COUNTIFS($A$1:A1,A2,$AX$1:AX1,AX2)=0,1,0))</f>
        <v>1</v>
      </c>
    </row>
    <row r="3" customFormat="false" ht="32.8" hidden="false" customHeight="false" outlineLevel="0" collapsed="false">
      <c r="A3" s="3" t="s">
        <v>63</v>
      </c>
      <c r="B3" s="3" t="s">
        <v>64</v>
      </c>
      <c r="C3" s="3" t="n">
        <v>2025</v>
      </c>
      <c r="D3" s="4" t="s">
        <v>65</v>
      </c>
      <c r="E3" s="4" t="s">
        <v>66</v>
      </c>
      <c r="F3" s="3" t="s">
        <v>55</v>
      </c>
      <c r="G3" s="4" t="s">
        <v>56</v>
      </c>
      <c r="H3" s="4" t="s">
        <v>67</v>
      </c>
      <c r="I3" s="3" t="s">
        <v>68</v>
      </c>
      <c r="J3" s="3" t="s">
        <v>59</v>
      </c>
      <c r="K3" s="3" t="s">
        <v>69</v>
      </c>
      <c r="L3" s="4" t="s">
        <v>70</v>
      </c>
      <c r="M3" s="4" t="s">
        <v>71</v>
      </c>
      <c r="N3" s="3" t="n">
        <v>2</v>
      </c>
      <c r="O3" s="4" t="s">
        <v>72</v>
      </c>
      <c r="P3" s="5" t="str">
        <f aca="false">";"&amp;LOWER(SUBSTITUTE(SUBSTITUTE(SUBSTITUTE(G3,"; ",";"),", ",";"),",",";"))&amp;";"</f>
        <v>;governanza colaborativa;</v>
      </c>
      <c r="Q3" s="5" t="str">
        <f aca="false">";"&amp;LOWER(SUBSTITUTE(SUBSTITUTE(SUBSTITUTE(H3,"; ",";"),", ",";"),",",";"))&amp;";"</f>
        <v>;traducción política;</v>
      </c>
      <c r="R3" s="5" t="str">
        <f aca="false">";"&amp;LOWER(SUBSTITUTE(SUBSTITUTE(SUBSTITUTE(J3,"; ",";"),", ",";"),",",";"))&amp;";"</f>
        <v>;gobierno;</v>
      </c>
      <c r="S3" s="5" t="str">
        <f aca="false">";"&amp;LOWER(SUBSTITUTE(SUBSTITUTE(SUBSTITUTE(K3,"; ",";"),", ",";"),",",";"))&amp;";"</f>
        <v>;nacional;</v>
      </c>
      <c r="T3" s="5" t="str">
        <f aca="false">";"&amp;LOWER(SUBSTITUTE(SUBSTITUTE(SUBSTITUTE(L3,"; ",";"),", ",";"),",",";"))&amp;";"</f>
        <v>;voz a texto;llm;nlp;</v>
      </c>
      <c r="U3" s="5" t="str">
        <f aca="false">";"&amp;LOWER(SUBSTITUTE(SUBSTITUTE(SUBSTITUTE(M3,"; ",";"),", ",";"),",",";"))&amp;";"</f>
        <v>;gobierno nacional;</v>
      </c>
      <c r="V3" s="5" t="n">
        <f aca="false">IF(ISNUMBER(SEARCH(";participación digital;",P3)),1,0)</f>
        <v>0</v>
      </c>
      <c r="W3" s="5" t="n">
        <f aca="false">IF(OR(ISNUMBER(SEARCH(";governanza colaborativa;",P3)),ISNUMBER(SEARCH(";gobernanza colaborativa;",P3))),1,0)</f>
        <v>1</v>
      </c>
      <c r="X3" s="5" t="n">
        <f aca="false">IF(ISNUMBER(SEARCH(";mini públicos;",P3)),1,0)</f>
        <v>0</v>
      </c>
      <c r="Y3" s="5" t="n">
        <f aca="false">IF(ISNUMBER(SEARCH(";referendos e iniciativas populares;",P3)),1,0)</f>
        <v>0</v>
      </c>
      <c r="Z3" s="5" t="n">
        <f aca="false">IF(ISNUMBER(SEARCH(";presupuestos participativos;",P3)),1,0)</f>
        <v>0</v>
      </c>
      <c r="AA3" s="5" t="n">
        <f aca="false">IF(ISNUMBER(SEARCH("planif",Q3)),1,0)</f>
        <v>0</v>
      </c>
      <c r="AB3" s="5" t="n">
        <f aca="false">IF(ISNUMBER(SEARCH("implement",Q3)),1,0)</f>
        <v>0</v>
      </c>
      <c r="AC3" s="5" t="n">
        <f aca="false">IF(ISNUMBER(SEARCH("análisis",Q3)),1,0)</f>
        <v>0</v>
      </c>
      <c r="AD3" s="5" t="n">
        <f aca="false">IF(ISNUMBER(SEARCH("traducción",Q3)),1,0)</f>
        <v>1</v>
      </c>
      <c r="AE3" s="5" t="n">
        <f aca="false">IF(ISNUMBER(SEARCH("público",F3)),1,0)</f>
        <v>1</v>
      </c>
      <c r="AF3" s="5" t="n">
        <f aca="false">IF(ISNUMBER(SEARCH("privado",F3)),1,0)</f>
        <v>0</v>
      </c>
      <c r="AG3" s="5" t="n">
        <f aca="false">IF(ISNUMBER(SEARCH("mixto",F3)),1,0)</f>
        <v>0</v>
      </c>
      <c r="AH3" s="5" t="n">
        <f aca="false">IF(ISNUMBER(SEARCH("único",I3)),1,0)</f>
        <v>0</v>
      </c>
      <c r="AI3" s="5" t="n">
        <f aca="false">IF(ISNUMBER(SEARCH("plataforma",I3)),1,0)</f>
        <v>1</v>
      </c>
      <c r="AJ3" s="5" t="n">
        <f aca="false">IF(ISNUMBER(SEARCH(";industria;",R3)),1,0)</f>
        <v>0</v>
      </c>
      <c r="AK3" s="5" t="n">
        <f aca="false">IF(ISNUMBER(SEARCH(";academia;",R3)),1,0)</f>
        <v>0</v>
      </c>
      <c r="AL3" s="5" t="n">
        <f aca="false">IF(ISNUMBER(SEARCH(";gobierno;",R3)),1,0)</f>
        <v>1</v>
      </c>
      <c r="AM3" s="5" t="n">
        <f aca="false">IF(ISNUMBER(SEARCH(";sociedad civil;",R3)),1,0)</f>
        <v>0</v>
      </c>
      <c r="AN3" s="5" t="n">
        <f aca="false">IF(ISNUMBER(SEARCH(";nacional;",S3)),1,0)</f>
        <v>1</v>
      </c>
      <c r="AO3" s="5" t="n">
        <f aca="false">IF(ISNUMBER(SEARCH(";internacional;",S3)),1,0)</f>
        <v>0</v>
      </c>
      <c r="AP3" s="5" t="n">
        <f aca="false">IF(ISNUMBER(SEARCH(";gobierno local;",U3)),1,0)</f>
        <v>0</v>
      </c>
      <c r="AQ3" s="5" t="n">
        <f aca="false">IF(ISNUMBER(SEARCH(";gobierno nacional;",U3)),1,0)</f>
        <v>1</v>
      </c>
      <c r="AR3" s="5" t="n">
        <f aca="false">IF(ISNUMBER(SEARCH(";otra institución pública;",U3)),1,0)</f>
        <v>0</v>
      </c>
      <c r="AS3" s="5" t="n">
        <f aca="false">IF(ISNUMBER(SEARCH(";empresa;",U3)),1,0)</f>
        <v>0</v>
      </c>
      <c r="AT3" s="5" t="n">
        <f aca="false">IF(ISNUMBER(SEARCH(";universidad;",U3)),1,0)</f>
        <v>0</v>
      </c>
      <c r="AU3" s="5" t="n">
        <f aca="false">IF(ISNUMBER(SEARCH(";sociedad civil;",U3)),1,0)</f>
        <v>0</v>
      </c>
      <c r="AV3" s="5" t="n">
        <f aca="false">IF(ISNUMBER(SEARCH(";organización internacional;",U3)),1,0)</f>
        <v>0</v>
      </c>
      <c r="AW3" s="5" t="n">
        <f aca="false">IF(N3="","",IF(AND(N3=1,('3 · Cálculo 2025 · f. nueva'!$C$25-C3)&gt;'3 · Cálculo 2025 · f. nueva'!$C$26),0,N3))</f>
        <v>2</v>
      </c>
      <c r="AX3" s="5" t="str">
        <f aca="false">IF(SUM(AP3:AV3)&lt;2,"",IF(AP3=1,"GL+","")&amp;IF(AQ3=1,"GN+","")&amp;IF(AR3=1,"OIP+","")&amp;IF(AS3=1,"EMP+","")&amp;IF(AT3=1,"UNI+","")&amp;IF(AU3=1,"SC+","")&amp;IF(AV3=1,"OI+",""))</f>
        <v/>
      </c>
      <c r="AY3" s="5" t="n">
        <f aca="false">IF(AX3="",0,IF(COUNTIFS($A$1:A2,A3,$AX$1:AX2,AX3)=0,1,0))</f>
        <v>0</v>
      </c>
    </row>
    <row r="4" customFormat="false" ht="22.35" hidden="false" customHeight="false" outlineLevel="0" collapsed="false">
      <c r="A4" s="3" t="s">
        <v>63</v>
      </c>
      <c r="B4" s="3" t="s">
        <v>73</v>
      </c>
      <c r="C4" s="3" t="n">
        <v>2025</v>
      </c>
      <c r="D4" s="4" t="s">
        <v>74</v>
      </c>
      <c r="E4" s="4" t="s">
        <v>75</v>
      </c>
      <c r="F4" s="3" t="s">
        <v>55</v>
      </c>
      <c r="G4" s="4" t="s">
        <v>56</v>
      </c>
      <c r="H4" s="4" t="s">
        <v>57</v>
      </c>
      <c r="I4" s="3" t="s">
        <v>68</v>
      </c>
      <c r="J4" s="3" t="s">
        <v>76</v>
      </c>
      <c r="K4" s="3" t="s">
        <v>77</v>
      </c>
      <c r="L4" s="4" t="s">
        <v>78</v>
      </c>
      <c r="M4" s="4" t="s">
        <v>79</v>
      </c>
      <c r="N4" s="3" t="n">
        <v>2</v>
      </c>
      <c r="O4" s="4"/>
      <c r="P4" s="5" t="str">
        <f aca="false">";"&amp;LOWER(SUBSTITUTE(SUBSTITUTE(SUBSTITUTE(G4,"; ",";"),", ",";"),",",";"))&amp;";"</f>
        <v>;governanza colaborativa;</v>
      </c>
      <c r="Q4" s="5" t="str">
        <f aca="false">";"&amp;LOWER(SUBSTITUTE(SUBSTITUTE(SUBSTITUTE(H4,"; ",";"),", ",";"),",",";"))&amp;";"</f>
        <v>;implementación;análisis;</v>
      </c>
      <c r="R4" s="5" t="str">
        <f aca="false">";"&amp;LOWER(SUBSTITUTE(SUBSTITUTE(SUBSTITUTE(J4,"; ",";"),", ",";"),",",";"))&amp;";"</f>
        <v>;gobierno;industria;</v>
      </c>
      <c r="S4" s="5" t="str">
        <f aca="false">";"&amp;LOWER(SUBSTITUTE(SUBSTITUTE(SUBSTITUTE(K4,"; ",";"),", ",";"),",",";"))&amp;";"</f>
        <v>;nacional;internacional;</v>
      </c>
      <c r="T4" s="5" t="str">
        <f aca="false">";"&amp;LOWER(SUBSTITUTE(SUBSTITUTE(SUBSTITUTE(L4,"; ",";"),", ",";"),",",";"))&amp;";"</f>
        <v>;llm;nlp;</v>
      </c>
      <c r="U4" s="5" t="str">
        <f aca="false">";"&amp;LOWER(SUBSTITUTE(SUBSTITUTE(SUBSTITUTE(M4,"; ",";"),", ",";"),",",";"))&amp;";"</f>
        <v>;gobierno local;</v>
      </c>
      <c r="V4" s="5" t="n">
        <f aca="false">IF(ISNUMBER(SEARCH(";participación digital;",P4)),1,0)</f>
        <v>0</v>
      </c>
      <c r="W4" s="5" t="n">
        <f aca="false">IF(OR(ISNUMBER(SEARCH(";governanza colaborativa;",P4)),ISNUMBER(SEARCH(";gobernanza colaborativa;",P4))),1,0)</f>
        <v>1</v>
      </c>
      <c r="X4" s="5" t="n">
        <f aca="false">IF(ISNUMBER(SEARCH(";mini públicos;",P4)),1,0)</f>
        <v>0</v>
      </c>
      <c r="Y4" s="5" t="n">
        <f aca="false">IF(ISNUMBER(SEARCH(";referendos e iniciativas populares;",P4)),1,0)</f>
        <v>0</v>
      </c>
      <c r="Z4" s="5" t="n">
        <f aca="false">IF(ISNUMBER(SEARCH(";presupuestos participativos;",P4)),1,0)</f>
        <v>0</v>
      </c>
      <c r="AA4" s="5" t="n">
        <f aca="false">IF(ISNUMBER(SEARCH("planif",Q4)),1,0)</f>
        <v>0</v>
      </c>
      <c r="AB4" s="5" t="n">
        <f aca="false">IF(ISNUMBER(SEARCH("implement",Q4)),1,0)</f>
        <v>1</v>
      </c>
      <c r="AC4" s="5" t="n">
        <f aca="false">IF(ISNUMBER(SEARCH("análisis",Q4)),1,0)</f>
        <v>1</v>
      </c>
      <c r="AD4" s="5" t="n">
        <f aca="false">IF(ISNUMBER(SEARCH("traducción",Q4)),1,0)</f>
        <v>0</v>
      </c>
      <c r="AE4" s="5" t="n">
        <f aca="false">IF(ISNUMBER(SEARCH("público",F4)),1,0)</f>
        <v>1</v>
      </c>
      <c r="AF4" s="5" t="n">
        <f aca="false">IF(ISNUMBER(SEARCH("privado",F4)),1,0)</f>
        <v>0</v>
      </c>
      <c r="AG4" s="5" t="n">
        <f aca="false">IF(ISNUMBER(SEARCH("mixto",F4)),1,0)</f>
        <v>0</v>
      </c>
      <c r="AH4" s="5" t="n">
        <f aca="false">IF(ISNUMBER(SEARCH("único",I4)),1,0)</f>
        <v>0</v>
      </c>
      <c r="AI4" s="5" t="n">
        <f aca="false">IF(ISNUMBER(SEARCH("plataforma",I4)),1,0)</f>
        <v>1</v>
      </c>
      <c r="AJ4" s="5" t="n">
        <f aca="false">IF(ISNUMBER(SEARCH(";industria;",R4)),1,0)</f>
        <v>1</v>
      </c>
      <c r="AK4" s="5" t="n">
        <f aca="false">IF(ISNUMBER(SEARCH(";academia;",R4)),1,0)</f>
        <v>0</v>
      </c>
      <c r="AL4" s="5" t="n">
        <f aca="false">IF(ISNUMBER(SEARCH(";gobierno;",R4)),1,0)</f>
        <v>1</v>
      </c>
      <c r="AM4" s="5" t="n">
        <f aca="false">IF(ISNUMBER(SEARCH(";sociedad civil;",R4)),1,0)</f>
        <v>0</v>
      </c>
      <c r="AN4" s="5" t="n">
        <f aca="false">IF(ISNUMBER(SEARCH(";nacional;",S4)),1,0)</f>
        <v>1</v>
      </c>
      <c r="AO4" s="5" t="n">
        <f aca="false">IF(ISNUMBER(SEARCH(";internacional;",S4)),1,0)</f>
        <v>1</v>
      </c>
      <c r="AP4" s="5" t="n">
        <f aca="false">IF(ISNUMBER(SEARCH(";gobierno local;",U4)),1,0)</f>
        <v>1</v>
      </c>
      <c r="AQ4" s="5" t="n">
        <f aca="false">IF(ISNUMBER(SEARCH(";gobierno nacional;",U4)),1,0)</f>
        <v>0</v>
      </c>
      <c r="AR4" s="5" t="n">
        <f aca="false">IF(ISNUMBER(SEARCH(";otra institución pública;",U4)),1,0)</f>
        <v>0</v>
      </c>
      <c r="AS4" s="5" t="n">
        <f aca="false">IF(ISNUMBER(SEARCH(";empresa;",U4)),1,0)</f>
        <v>0</v>
      </c>
      <c r="AT4" s="5" t="n">
        <f aca="false">IF(ISNUMBER(SEARCH(";universidad;",U4)),1,0)</f>
        <v>0</v>
      </c>
      <c r="AU4" s="5" t="n">
        <f aca="false">IF(ISNUMBER(SEARCH(";sociedad civil;",U4)),1,0)</f>
        <v>0</v>
      </c>
      <c r="AV4" s="5" t="n">
        <f aca="false">IF(ISNUMBER(SEARCH(";organización internacional;",U4)),1,0)</f>
        <v>0</v>
      </c>
      <c r="AW4" s="5" t="n">
        <f aca="false">IF(N4="","",IF(AND(N4=1,('3 · Cálculo 2025 · f. nueva'!$C$25-C4)&gt;'3 · Cálculo 2025 · f. nueva'!$C$26),0,N4))</f>
        <v>2</v>
      </c>
      <c r="AX4" s="5" t="str">
        <f aca="false">IF(SUM(AP4:AV4)&lt;2,"",IF(AP4=1,"GL+","")&amp;IF(AQ4=1,"GN+","")&amp;IF(AR4=1,"OIP+","")&amp;IF(AS4=1,"EMP+","")&amp;IF(AT4=1,"UNI+","")&amp;IF(AU4=1,"SC+","")&amp;IF(AV4=1,"OI+",""))</f>
        <v/>
      </c>
      <c r="AY4" s="5" t="n">
        <f aca="false">IF(AX4="",0,IF(COUNTIFS($A$1:A3,A4,$AX$1:AX3,AX4)=0,1,0))</f>
        <v>0</v>
      </c>
    </row>
    <row r="5" customFormat="false" ht="53.7" hidden="false" customHeight="false" outlineLevel="0" collapsed="false">
      <c r="A5" s="3" t="s">
        <v>63</v>
      </c>
      <c r="B5" s="3" t="s">
        <v>80</v>
      </c>
      <c r="C5" s="3" t="n">
        <v>2013</v>
      </c>
      <c r="D5" s="4" t="s">
        <v>81</v>
      </c>
      <c r="E5" s="4" t="s">
        <v>80</v>
      </c>
      <c r="F5" s="3" t="s">
        <v>82</v>
      </c>
      <c r="G5" s="4" t="s">
        <v>56</v>
      </c>
      <c r="H5" s="4" t="s">
        <v>83</v>
      </c>
      <c r="I5" s="3" t="s">
        <v>68</v>
      </c>
      <c r="J5" s="3" t="s">
        <v>84</v>
      </c>
      <c r="K5" s="3" t="s">
        <v>69</v>
      </c>
      <c r="L5" s="4" t="s">
        <v>85</v>
      </c>
      <c r="M5" s="4" t="s">
        <v>86</v>
      </c>
      <c r="N5" s="3" t="n">
        <v>2</v>
      </c>
      <c r="O5" s="4" t="s">
        <v>87</v>
      </c>
      <c r="P5" s="5" t="str">
        <f aca="false">";"&amp;LOWER(SUBSTITUTE(SUBSTITUTE(SUBSTITUTE(G5,"; ",";"),", ",";"),",",";"))&amp;";"</f>
        <v>;governanza colaborativa;</v>
      </c>
      <c r="Q5" s="5" t="str">
        <f aca="false">";"&amp;LOWER(SUBSTITUTE(SUBSTITUTE(SUBSTITUTE(H5,"; ",";"),", ",";"),",",";"))&amp;";"</f>
        <v>;análisis;</v>
      </c>
      <c r="R5" s="5" t="str">
        <f aca="false">";"&amp;LOWER(SUBSTITUTE(SUBSTITUTE(SUBSTITUTE(J5,"; ",";"),", ",";"),",",";"))&amp;";"</f>
        <v>;industria;</v>
      </c>
      <c r="S5" s="5" t="str">
        <f aca="false">";"&amp;LOWER(SUBSTITUTE(SUBSTITUTE(SUBSTITUTE(K5,"; ",";"),", ",";"),",",";"))&amp;";"</f>
        <v>;nacional;</v>
      </c>
      <c r="T5" s="5" t="str">
        <f aca="false">";"&amp;LOWER(SUBSTITUTE(SUBSTITUTE(SUBSTITUTE(L5,"; ",";"),", ",";"),",",";"))&amp;";"</f>
        <v>;ml - inespecífico;</v>
      </c>
      <c r="U5" s="5" t="str">
        <f aca="false">";"&amp;LOWER(SUBSTITUTE(SUBSTITUTE(SUBSTITUTE(M5,"; ",";"),", ",";"),",",";"))&amp;";"</f>
        <v>;empresa;</v>
      </c>
      <c r="V5" s="5" t="n">
        <f aca="false">IF(ISNUMBER(SEARCH(";participación digital;",P5)),1,0)</f>
        <v>0</v>
      </c>
      <c r="W5" s="5" t="n">
        <f aca="false">IF(OR(ISNUMBER(SEARCH(";governanza colaborativa;",P5)),ISNUMBER(SEARCH(";gobernanza colaborativa;",P5))),1,0)</f>
        <v>1</v>
      </c>
      <c r="X5" s="5" t="n">
        <f aca="false">IF(ISNUMBER(SEARCH(";mini públicos;",P5)),1,0)</f>
        <v>0</v>
      </c>
      <c r="Y5" s="5" t="n">
        <f aca="false">IF(ISNUMBER(SEARCH(";referendos e iniciativas populares;",P5)),1,0)</f>
        <v>0</v>
      </c>
      <c r="Z5" s="5" t="n">
        <f aca="false">IF(ISNUMBER(SEARCH(";presupuestos participativos;",P5)),1,0)</f>
        <v>0</v>
      </c>
      <c r="AA5" s="5" t="n">
        <f aca="false">IF(ISNUMBER(SEARCH("planif",Q5)),1,0)</f>
        <v>0</v>
      </c>
      <c r="AB5" s="5" t="n">
        <f aca="false">IF(ISNUMBER(SEARCH("implement",Q5)),1,0)</f>
        <v>0</v>
      </c>
      <c r="AC5" s="5" t="n">
        <f aca="false">IF(ISNUMBER(SEARCH("análisis",Q5)),1,0)</f>
        <v>1</v>
      </c>
      <c r="AD5" s="5" t="n">
        <f aca="false">IF(ISNUMBER(SEARCH("traducción",Q5)),1,0)</f>
        <v>0</v>
      </c>
      <c r="AE5" s="5" t="n">
        <f aca="false">IF(ISNUMBER(SEARCH("público",F5)),1,0)</f>
        <v>0</v>
      </c>
      <c r="AF5" s="5" t="n">
        <f aca="false">IF(ISNUMBER(SEARCH("privado",F5)),1,0)</f>
        <v>1</v>
      </c>
      <c r="AG5" s="5" t="n">
        <f aca="false">IF(ISNUMBER(SEARCH("mixto",F5)),1,0)</f>
        <v>0</v>
      </c>
      <c r="AH5" s="5" t="n">
        <f aca="false">IF(ISNUMBER(SEARCH("único",I5)),1,0)</f>
        <v>0</v>
      </c>
      <c r="AI5" s="5" t="n">
        <f aca="false">IF(ISNUMBER(SEARCH("plataforma",I5)),1,0)</f>
        <v>1</v>
      </c>
      <c r="AJ5" s="5" t="n">
        <f aca="false">IF(ISNUMBER(SEARCH(";industria;",R5)),1,0)</f>
        <v>1</v>
      </c>
      <c r="AK5" s="5" t="n">
        <f aca="false">IF(ISNUMBER(SEARCH(";academia;",R5)),1,0)</f>
        <v>0</v>
      </c>
      <c r="AL5" s="5" t="n">
        <f aca="false">IF(ISNUMBER(SEARCH(";gobierno;",R5)),1,0)</f>
        <v>0</v>
      </c>
      <c r="AM5" s="5" t="n">
        <f aca="false">IF(ISNUMBER(SEARCH(";sociedad civil;",R5)),1,0)</f>
        <v>0</v>
      </c>
      <c r="AN5" s="5" t="n">
        <f aca="false">IF(ISNUMBER(SEARCH(";nacional;",S5)),1,0)</f>
        <v>1</v>
      </c>
      <c r="AO5" s="5" t="n">
        <f aca="false">IF(ISNUMBER(SEARCH(";internacional;",S5)),1,0)</f>
        <v>0</v>
      </c>
      <c r="AP5" s="5" t="n">
        <f aca="false">IF(ISNUMBER(SEARCH(";gobierno local;",U5)),1,0)</f>
        <v>0</v>
      </c>
      <c r="AQ5" s="5" t="n">
        <f aca="false">IF(ISNUMBER(SEARCH(";gobierno nacional;",U5)),1,0)</f>
        <v>0</v>
      </c>
      <c r="AR5" s="5" t="n">
        <f aca="false">IF(ISNUMBER(SEARCH(";otra institución pública;",U5)),1,0)</f>
        <v>0</v>
      </c>
      <c r="AS5" s="5" t="n">
        <f aca="false">IF(ISNUMBER(SEARCH(";empresa;",U5)),1,0)</f>
        <v>1</v>
      </c>
      <c r="AT5" s="5" t="n">
        <f aca="false">IF(ISNUMBER(SEARCH(";universidad;",U5)),1,0)</f>
        <v>0</v>
      </c>
      <c r="AU5" s="5" t="n">
        <f aca="false">IF(ISNUMBER(SEARCH(";sociedad civil;",U5)),1,0)</f>
        <v>0</v>
      </c>
      <c r="AV5" s="5" t="n">
        <f aca="false">IF(ISNUMBER(SEARCH(";organización internacional;",U5)),1,0)</f>
        <v>0</v>
      </c>
      <c r="AW5" s="5" t="n">
        <f aca="false">IF(N5="","",IF(AND(N5=1,('3 · Cálculo 2025 · f. nueva'!$C$25-C5)&gt;'3 · Cálculo 2025 · f. nueva'!$C$26),0,N5))</f>
        <v>2</v>
      </c>
      <c r="AX5" s="5" t="str">
        <f aca="false">IF(SUM(AP5:AV5)&lt;2,"",IF(AP5=1,"GL+","")&amp;IF(AQ5=1,"GN+","")&amp;IF(AR5=1,"OIP+","")&amp;IF(AS5=1,"EMP+","")&amp;IF(AT5=1,"UNI+","")&amp;IF(AU5=1,"SC+","")&amp;IF(AV5=1,"OI+",""))</f>
        <v/>
      </c>
      <c r="AY5" s="5" t="n">
        <f aca="false">IF(AX5="",0,IF(COUNTIFS($A$1:A4,A5,$AX$1:AX4,AX5)=0,1,0))</f>
        <v>0</v>
      </c>
    </row>
    <row r="6" customFormat="false" ht="74.6" hidden="false" customHeight="false" outlineLevel="0" collapsed="false">
      <c r="A6" s="3" t="s">
        <v>63</v>
      </c>
      <c r="B6" s="3" t="s">
        <v>88</v>
      </c>
      <c r="C6" s="3" t="n">
        <v>2018</v>
      </c>
      <c r="D6" s="4" t="s">
        <v>89</v>
      </c>
      <c r="E6" s="4" t="s">
        <v>90</v>
      </c>
      <c r="F6" s="3" t="s">
        <v>82</v>
      </c>
      <c r="G6" s="4" t="s">
        <v>56</v>
      </c>
      <c r="H6" s="4" t="s">
        <v>91</v>
      </c>
      <c r="I6" s="3" t="s">
        <v>68</v>
      </c>
      <c r="J6" s="3" t="s">
        <v>92</v>
      </c>
      <c r="K6" s="3" t="s">
        <v>69</v>
      </c>
      <c r="L6" s="4" t="s">
        <v>93</v>
      </c>
      <c r="M6" s="4" t="s">
        <v>94</v>
      </c>
      <c r="N6" s="3" t="n">
        <v>2</v>
      </c>
      <c r="O6" s="4" t="s">
        <v>95</v>
      </c>
      <c r="P6" s="5" t="str">
        <f aca="false">";"&amp;LOWER(SUBSTITUTE(SUBSTITUTE(SUBSTITUTE(G6,"; ",";"),", ",";"),",",";"))&amp;";"</f>
        <v>;governanza colaborativa;</v>
      </c>
      <c r="Q6" s="5" t="str">
        <f aca="false">";"&amp;LOWER(SUBSTITUTE(SUBSTITUTE(SUBSTITUTE(H6,"; ",";"),", ",";"),",",";"))&amp;";"</f>
        <v>;análisis;implementación;traducción política;</v>
      </c>
      <c r="R6" s="5" t="str">
        <f aca="false">";"&amp;LOWER(SUBSTITUTE(SUBSTITUTE(SUBSTITUTE(J6,"; ",";"),", ",";"),",",";"))&amp;";"</f>
        <v>;academia;</v>
      </c>
      <c r="S6" s="5" t="str">
        <f aca="false">";"&amp;LOWER(SUBSTITUTE(SUBSTITUTE(SUBSTITUTE(K6,"; ",";"),", ",";"),",",";"))&amp;";"</f>
        <v>;nacional;</v>
      </c>
      <c r="T6" s="5" t="str">
        <f aca="false">";"&amp;LOWER(SUBSTITUTE(SUBSTITUTE(SUBSTITUTE(L6,"; ",";"),", ",";"),",",";"))&amp;";"</f>
        <v>;nlp;chatbot - inespecífico;ml - inespecífico;</v>
      </c>
      <c r="U6" s="5" t="str">
        <f aca="false">";"&amp;LOWER(SUBSTITUTE(SUBSTITUTE(SUBSTITUTE(M6,"; ",";"),", ",";"),",",";"))&amp;";"</f>
        <v>;universidad;</v>
      </c>
      <c r="V6" s="5" t="n">
        <f aca="false">IF(ISNUMBER(SEARCH(";participación digital;",P6)),1,0)</f>
        <v>0</v>
      </c>
      <c r="W6" s="5" t="n">
        <f aca="false">IF(OR(ISNUMBER(SEARCH(";governanza colaborativa;",P6)),ISNUMBER(SEARCH(";gobernanza colaborativa;",P6))),1,0)</f>
        <v>1</v>
      </c>
      <c r="X6" s="5" t="n">
        <f aca="false">IF(ISNUMBER(SEARCH(";mini públicos;",P6)),1,0)</f>
        <v>0</v>
      </c>
      <c r="Y6" s="5" t="n">
        <f aca="false">IF(ISNUMBER(SEARCH(";referendos e iniciativas populares;",P6)),1,0)</f>
        <v>0</v>
      </c>
      <c r="Z6" s="5" t="n">
        <f aca="false">IF(ISNUMBER(SEARCH(";presupuestos participativos;",P6)),1,0)</f>
        <v>0</v>
      </c>
      <c r="AA6" s="5" t="n">
        <f aca="false">IF(ISNUMBER(SEARCH("planif",Q6)),1,0)</f>
        <v>0</v>
      </c>
      <c r="AB6" s="5" t="n">
        <f aca="false">IF(ISNUMBER(SEARCH("implement",Q6)),1,0)</f>
        <v>1</v>
      </c>
      <c r="AC6" s="5" t="n">
        <f aca="false">IF(ISNUMBER(SEARCH("análisis",Q6)),1,0)</f>
        <v>1</v>
      </c>
      <c r="AD6" s="5" t="n">
        <f aca="false">IF(ISNUMBER(SEARCH("traducción",Q6)),1,0)</f>
        <v>1</v>
      </c>
      <c r="AE6" s="5" t="n">
        <f aca="false">IF(ISNUMBER(SEARCH("público",F6)),1,0)</f>
        <v>0</v>
      </c>
      <c r="AF6" s="5" t="n">
        <f aca="false">IF(ISNUMBER(SEARCH("privado",F6)),1,0)</f>
        <v>1</v>
      </c>
      <c r="AG6" s="5" t="n">
        <f aca="false">IF(ISNUMBER(SEARCH("mixto",F6)),1,0)</f>
        <v>0</v>
      </c>
      <c r="AH6" s="5" t="n">
        <f aca="false">IF(ISNUMBER(SEARCH("único",I6)),1,0)</f>
        <v>0</v>
      </c>
      <c r="AI6" s="5" t="n">
        <f aca="false">IF(ISNUMBER(SEARCH("plataforma",I6)),1,0)</f>
        <v>1</v>
      </c>
      <c r="AJ6" s="5" t="n">
        <f aca="false">IF(ISNUMBER(SEARCH(";industria;",R6)),1,0)</f>
        <v>0</v>
      </c>
      <c r="AK6" s="5" t="n">
        <f aca="false">IF(ISNUMBER(SEARCH(";academia;",R6)),1,0)</f>
        <v>1</v>
      </c>
      <c r="AL6" s="5" t="n">
        <f aca="false">IF(ISNUMBER(SEARCH(";gobierno;",R6)),1,0)</f>
        <v>0</v>
      </c>
      <c r="AM6" s="5" t="n">
        <f aca="false">IF(ISNUMBER(SEARCH(";sociedad civil;",R6)),1,0)</f>
        <v>0</v>
      </c>
      <c r="AN6" s="5" t="n">
        <f aca="false">IF(ISNUMBER(SEARCH(";nacional;",S6)),1,0)</f>
        <v>1</v>
      </c>
      <c r="AO6" s="5" t="n">
        <f aca="false">IF(ISNUMBER(SEARCH(";internacional;",S6)),1,0)</f>
        <v>0</v>
      </c>
      <c r="AP6" s="5" t="n">
        <f aca="false">IF(ISNUMBER(SEARCH(";gobierno local;",U6)),1,0)</f>
        <v>0</v>
      </c>
      <c r="AQ6" s="5" t="n">
        <f aca="false">IF(ISNUMBER(SEARCH(";gobierno nacional;",U6)),1,0)</f>
        <v>0</v>
      </c>
      <c r="AR6" s="5" t="n">
        <f aca="false">IF(ISNUMBER(SEARCH(";otra institución pública;",U6)),1,0)</f>
        <v>0</v>
      </c>
      <c r="AS6" s="5" t="n">
        <f aca="false">IF(ISNUMBER(SEARCH(";empresa;",U6)),1,0)</f>
        <v>0</v>
      </c>
      <c r="AT6" s="5" t="n">
        <f aca="false">IF(ISNUMBER(SEARCH(";universidad;",U6)),1,0)</f>
        <v>1</v>
      </c>
      <c r="AU6" s="5" t="n">
        <f aca="false">IF(ISNUMBER(SEARCH(";sociedad civil;",U6)),1,0)</f>
        <v>0</v>
      </c>
      <c r="AV6" s="5" t="n">
        <f aca="false">IF(ISNUMBER(SEARCH(";organización internacional;",U6)),1,0)</f>
        <v>0</v>
      </c>
      <c r="AW6" s="5" t="n">
        <f aca="false">IF(N6="","",IF(AND(N6=1,('3 · Cálculo 2025 · f. nueva'!$C$25-C6)&gt;'3 · Cálculo 2025 · f. nueva'!$C$26),0,N6))</f>
        <v>2</v>
      </c>
      <c r="AX6" s="5" t="str">
        <f aca="false">IF(SUM(AP6:AV6)&lt;2,"",IF(AP6=1,"GL+","")&amp;IF(AQ6=1,"GN+","")&amp;IF(AR6=1,"OIP+","")&amp;IF(AS6=1,"EMP+","")&amp;IF(AT6=1,"UNI+","")&amp;IF(AU6=1,"SC+","")&amp;IF(AV6=1,"OI+",""))</f>
        <v/>
      </c>
      <c r="AY6" s="5" t="n">
        <f aca="false">IF(AX6="",0,IF(COUNTIFS($A$1:A5,A6,$AX$1:AX5,AX6)=0,1,0))</f>
        <v>0</v>
      </c>
    </row>
    <row r="7" customFormat="false" ht="22.35" hidden="false" customHeight="false" outlineLevel="0" collapsed="false">
      <c r="A7" s="3" t="s">
        <v>96</v>
      </c>
      <c r="B7" s="3" t="s">
        <v>97</v>
      </c>
      <c r="C7" s="3" t="n">
        <v>2016</v>
      </c>
      <c r="D7" s="4" t="s">
        <v>98</v>
      </c>
      <c r="E7" s="4" t="s">
        <v>99</v>
      </c>
      <c r="F7" s="3" t="s">
        <v>55</v>
      </c>
      <c r="G7" s="4" t="s">
        <v>56</v>
      </c>
      <c r="H7" s="4" t="s">
        <v>83</v>
      </c>
      <c r="I7" s="3" t="s">
        <v>58</v>
      </c>
      <c r="J7" s="3" t="s">
        <v>92</v>
      </c>
      <c r="K7" s="3" t="s">
        <v>69</v>
      </c>
      <c r="L7" s="4" t="s">
        <v>61</v>
      </c>
      <c r="M7" s="4" t="s">
        <v>100</v>
      </c>
      <c r="N7" s="3" t="n">
        <v>2</v>
      </c>
      <c r="O7" s="4" t="s">
        <v>101</v>
      </c>
      <c r="P7" s="5" t="str">
        <f aca="false">";"&amp;LOWER(SUBSTITUTE(SUBSTITUTE(SUBSTITUTE(G7,"; ",";"),", ",";"),",",";"))&amp;";"</f>
        <v>;governanza colaborativa;</v>
      </c>
      <c r="Q7" s="5" t="str">
        <f aca="false">";"&amp;LOWER(SUBSTITUTE(SUBSTITUTE(SUBSTITUTE(H7,"; ",";"),", ",";"),",",";"))&amp;";"</f>
        <v>;análisis;</v>
      </c>
      <c r="R7" s="5" t="str">
        <f aca="false">";"&amp;LOWER(SUBSTITUTE(SUBSTITUTE(SUBSTITUTE(J7,"; ",";"),", ",";"),",",";"))&amp;";"</f>
        <v>;academia;</v>
      </c>
      <c r="S7" s="5" t="str">
        <f aca="false">";"&amp;LOWER(SUBSTITUTE(SUBSTITUTE(SUBSTITUTE(K7,"; ",";"),", ",";"),",",";"))&amp;";"</f>
        <v>;nacional;</v>
      </c>
      <c r="T7" s="5" t="str">
        <f aca="false">";"&amp;LOWER(SUBSTITUTE(SUBSTITUTE(SUBSTITUTE(L7,"; ",";"),", ",";"),",",";"))&amp;";"</f>
        <v>;nlp - tópicos;</v>
      </c>
      <c r="U7" s="5" t="str">
        <f aca="false">";"&amp;LOWER(SUBSTITUTE(SUBSTITUTE(SUBSTITUTE(M7,"; ",";"),", ",";"),",",";"))&amp;";"</f>
        <v>;otra institución pública;</v>
      </c>
      <c r="V7" s="5" t="n">
        <f aca="false">IF(ISNUMBER(SEARCH(";participación digital;",P7)),1,0)</f>
        <v>0</v>
      </c>
      <c r="W7" s="5" t="n">
        <f aca="false">IF(OR(ISNUMBER(SEARCH(";governanza colaborativa;",P7)),ISNUMBER(SEARCH(";gobernanza colaborativa;",P7))),1,0)</f>
        <v>1</v>
      </c>
      <c r="X7" s="5" t="n">
        <f aca="false">IF(ISNUMBER(SEARCH(";mini públicos;",P7)),1,0)</f>
        <v>0</v>
      </c>
      <c r="Y7" s="5" t="n">
        <f aca="false">IF(ISNUMBER(SEARCH(";referendos e iniciativas populares;",P7)),1,0)</f>
        <v>0</v>
      </c>
      <c r="Z7" s="5" t="n">
        <f aca="false">IF(ISNUMBER(SEARCH(";presupuestos participativos;",P7)),1,0)</f>
        <v>0</v>
      </c>
      <c r="AA7" s="5" t="n">
        <f aca="false">IF(ISNUMBER(SEARCH("planif",Q7)),1,0)</f>
        <v>0</v>
      </c>
      <c r="AB7" s="5" t="n">
        <f aca="false">IF(ISNUMBER(SEARCH("implement",Q7)),1,0)</f>
        <v>0</v>
      </c>
      <c r="AC7" s="5" t="n">
        <f aca="false">IF(ISNUMBER(SEARCH("análisis",Q7)),1,0)</f>
        <v>1</v>
      </c>
      <c r="AD7" s="5" t="n">
        <f aca="false">IF(ISNUMBER(SEARCH("traducción",Q7)),1,0)</f>
        <v>0</v>
      </c>
      <c r="AE7" s="5" t="n">
        <f aca="false">IF(ISNUMBER(SEARCH("público",F7)),1,0)</f>
        <v>1</v>
      </c>
      <c r="AF7" s="5" t="n">
        <f aca="false">IF(ISNUMBER(SEARCH("privado",F7)),1,0)</f>
        <v>0</v>
      </c>
      <c r="AG7" s="5" t="n">
        <f aca="false">IF(ISNUMBER(SEARCH("mixto",F7)),1,0)</f>
        <v>0</v>
      </c>
      <c r="AH7" s="5" t="n">
        <f aca="false">IF(ISNUMBER(SEARCH("único",I7)),1,0)</f>
        <v>1</v>
      </c>
      <c r="AI7" s="5" t="n">
        <f aca="false">IF(ISNUMBER(SEARCH("plataforma",I7)),1,0)</f>
        <v>0</v>
      </c>
      <c r="AJ7" s="5" t="n">
        <f aca="false">IF(ISNUMBER(SEARCH(";industria;",R7)),1,0)</f>
        <v>0</v>
      </c>
      <c r="AK7" s="5" t="n">
        <f aca="false">IF(ISNUMBER(SEARCH(";academia;",R7)),1,0)</f>
        <v>1</v>
      </c>
      <c r="AL7" s="5" t="n">
        <f aca="false">IF(ISNUMBER(SEARCH(";gobierno;",R7)),1,0)</f>
        <v>0</v>
      </c>
      <c r="AM7" s="5" t="n">
        <f aca="false">IF(ISNUMBER(SEARCH(";sociedad civil;",R7)),1,0)</f>
        <v>0</v>
      </c>
      <c r="AN7" s="5" t="n">
        <f aca="false">IF(ISNUMBER(SEARCH(";nacional;",S7)),1,0)</f>
        <v>1</v>
      </c>
      <c r="AO7" s="5" t="n">
        <f aca="false">IF(ISNUMBER(SEARCH(";internacional;",S7)),1,0)</f>
        <v>0</v>
      </c>
      <c r="AP7" s="5" t="n">
        <f aca="false">IF(ISNUMBER(SEARCH(";gobierno local;",U7)),1,0)</f>
        <v>0</v>
      </c>
      <c r="AQ7" s="5" t="n">
        <f aca="false">IF(ISNUMBER(SEARCH(";gobierno nacional;",U7)),1,0)</f>
        <v>0</v>
      </c>
      <c r="AR7" s="5" t="n">
        <f aca="false">IF(ISNUMBER(SEARCH(";otra institución pública;",U7)),1,0)</f>
        <v>1</v>
      </c>
      <c r="AS7" s="5" t="n">
        <f aca="false">IF(ISNUMBER(SEARCH(";empresa;",U7)),1,0)</f>
        <v>0</v>
      </c>
      <c r="AT7" s="5" t="n">
        <f aca="false">IF(ISNUMBER(SEARCH(";universidad;",U7)),1,0)</f>
        <v>0</v>
      </c>
      <c r="AU7" s="5" t="n">
        <f aca="false">IF(ISNUMBER(SEARCH(";sociedad civil;",U7)),1,0)</f>
        <v>0</v>
      </c>
      <c r="AV7" s="5" t="n">
        <f aca="false">IF(ISNUMBER(SEARCH(";organización internacional;",U7)),1,0)</f>
        <v>0</v>
      </c>
      <c r="AW7" s="5" t="n">
        <f aca="false">IF(N7="","",IF(AND(N7=1,('3 · Cálculo 2025 · f. nueva'!$C$25-C7)&gt;'3 · Cálculo 2025 · f. nueva'!$C$26),0,N7))</f>
        <v>2</v>
      </c>
      <c r="AX7" s="5" t="str">
        <f aca="false">IF(SUM(AP7:AV7)&lt;2,"",IF(AP7=1,"GL+","")&amp;IF(AQ7=1,"GN+","")&amp;IF(AR7=1,"OIP+","")&amp;IF(AS7=1,"EMP+","")&amp;IF(AT7=1,"UNI+","")&amp;IF(AU7=1,"SC+","")&amp;IF(AV7=1,"OI+",""))</f>
        <v/>
      </c>
      <c r="AY7" s="5" t="n">
        <f aca="false">IF(AX7="",0,IF(COUNTIFS($A$1:A6,A7,$AX$1:AX6,AX7)=0,1,0))</f>
        <v>0</v>
      </c>
    </row>
    <row r="8" customFormat="false" ht="22.35" hidden="false" customHeight="false" outlineLevel="0" collapsed="false">
      <c r="A8" s="3" t="s">
        <v>96</v>
      </c>
      <c r="B8" s="3" t="s">
        <v>102</v>
      </c>
      <c r="C8" s="3" t="n">
        <v>2021</v>
      </c>
      <c r="D8" s="4" t="s">
        <v>103</v>
      </c>
      <c r="E8" s="4" t="s">
        <v>104</v>
      </c>
      <c r="F8" s="3" t="s">
        <v>105</v>
      </c>
      <c r="G8" s="4" t="s">
        <v>56</v>
      </c>
      <c r="H8" s="4" t="s">
        <v>57</v>
      </c>
      <c r="I8" s="3" t="s">
        <v>58</v>
      </c>
      <c r="J8" s="3" t="s">
        <v>84</v>
      </c>
      <c r="K8" s="3" t="s">
        <v>60</v>
      </c>
      <c r="L8" s="4" t="s">
        <v>106</v>
      </c>
      <c r="M8" s="4" t="s">
        <v>107</v>
      </c>
      <c r="N8" s="3" t="n">
        <v>2</v>
      </c>
      <c r="O8" s="4"/>
      <c r="P8" s="5" t="str">
        <f aca="false">";"&amp;LOWER(SUBSTITUTE(SUBSTITUTE(SUBSTITUTE(G8,"; ",";"),", ",";"),",",";"))&amp;";"</f>
        <v>;governanza colaborativa;</v>
      </c>
      <c r="Q8" s="5" t="str">
        <f aca="false">";"&amp;LOWER(SUBSTITUTE(SUBSTITUTE(SUBSTITUTE(H8,"; ",";"),", ",";"),",",";"))&amp;";"</f>
        <v>;implementación;análisis;</v>
      </c>
      <c r="R8" s="5" t="str">
        <f aca="false">";"&amp;LOWER(SUBSTITUTE(SUBSTITUTE(SUBSTITUTE(J8,"; ",";"),", ",";"),",",";"))&amp;";"</f>
        <v>;industria;</v>
      </c>
      <c r="S8" s="5" t="str">
        <f aca="false">";"&amp;LOWER(SUBSTITUTE(SUBSTITUTE(SUBSTITUTE(K8,"; ",";"),", ",";"),",",";"))&amp;";"</f>
        <v>;internacional;</v>
      </c>
      <c r="T8" s="5" t="str">
        <f aca="false">";"&amp;LOWER(SUBSTITUTE(SUBSTITUTE(SUBSTITUTE(L8,"; ",";"),", ",";"),",",";"))&amp;";"</f>
        <v>;nlp;</v>
      </c>
      <c r="U8" s="5" t="str">
        <f aca="false">";"&amp;LOWER(SUBSTITUTE(SUBSTITUTE(SUBSTITUTE(M8,"; ",";"),", ",";"),",",";"))&amp;";"</f>
        <v>;sociedad civil;empresa;</v>
      </c>
      <c r="V8" s="5" t="n">
        <f aca="false">IF(ISNUMBER(SEARCH(";participación digital;",P8)),1,0)</f>
        <v>0</v>
      </c>
      <c r="W8" s="5" t="n">
        <f aca="false">IF(OR(ISNUMBER(SEARCH(";governanza colaborativa;",P8)),ISNUMBER(SEARCH(";gobernanza colaborativa;",P8))),1,0)</f>
        <v>1</v>
      </c>
      <c r="X8" s="5" t="n">
        <f aca="false">IF(ISNUMBER(SEARCH(";mini públicos;",P8)),1,0)</f>
        <v>0</v>
      </c>
      <c r="Y8" s="5" t="n">
        <f aca="false">IF(ISNUMBER(SEARCH(";referendos e iniciativas populares;",P8)),1,0)</f>
        <v>0</v>
      </c>
      <c r="Z8" s="5" t="n">
        <f aca="false">IF(ISNUMBER(SEARCH(";presupuestos participativos;",P8)),1,0)</f>
        <v>0</v>
      </c>
      <c r="AA8" s="5" t="n">
        <f aca="false">IF(ISNUMBER(SEARCH("planif",Q8)),1,0)</f>
        <v>0</v>
      </c>
      <c r="AB8" s="5" t="n">
        <f aca="false">IF(ISNUMBER(SEARCH("implement",Q8)),1,0)</f>
        <v>1</v>
      </c>
      <c r="AC8" s="5" t="n">
        <f aca="false">IF(ISNUMBER(SEARCH("análisis",Q8)),1,0)</f>
        <v>1</v>
      </c>
      <c r="AD8" s="5" t="n">
        <f aca="false">IF(ISNUMBER(SEARCH("traducción",Q8)),1,0)</f>
        <v>0</v>
      </c>
      <c r="AE8" s="5" t="n">
        <f aca="false">IF(ISNUMBER(SEARCH("público",F8)),1,0)</f>
        <v>0</v>
      </c>
      <c r="AF8" s="5" t="n">
        <f aca="false">IF(ISNUMBER(SEARCH("privado",F8)),1,0)</f>
        <v>0</v>
      </c>
      <c r="AG8" s="5" t="n">
        <f aca="false">IF(ISNUMBER(SEARCH("mixto",F8)),1,0)</f>
        <v>1</v>
      </c>
      <c r="AH8" s="5" t="n">
        <f aca="false">IF(ISNUMBER(SEARCH("único",I8)),1,0)</f>
        <v>1</v>
      </c>
      <c r="AI8" s="5" t="n">
        <f aca="false">IF(ISNUMBER(SEARCH("plataforma",I8)),1,0)</f>
        <v>0</v>
      </c>
      <c r="AJ8" s="5" t="n">
        <f aca="false">IF(ISNUMBER(SEARCH(";industria;",R8)),1,0)</f>
        <v>1</v>
      </c>
      <c r="AK8" s="5" t="n">
        <f aca="false">IF(ISNUMBER(SEARCH(";academia;",R8)),1,0)</f>
        <v>0</v>
      </c>
      <c r="AL8" s="5" t="n">
        <f aca="false">IF(ISNUMBER(SEARCH(";gobierno;",R8)),1,0)</f>
        <v>0</v>
      </c>
      <c r="AM8" s="5" t="n">
        <f aca="false">IF(ISNUMBER(SEARCH(";sociedad civil;",R8)),1,0)</f>
        <v>0</v>
      </c>
      <c r="AN8" s="5" t="n">
        <f aca="false">IF(ISNUMBER(SEARCH(";nacional;",S8)),1,0)</f>
        <v>0</v>
      </c>
      <c r="AO8" s="5" t="n">
        <f aca="false">IF(ISNUMBER(SEARCH(";internacional;",S8)),1,0)</f>
        <v>1</v>
      </c>
      <c r="AP8" s="5" t="n">
        <f aca="false">IF(ISNUMBER(SEARCH(";gobierno local;",U8)),1,0)</f>
        <v>0</v>
      </c>
      <c r="AQ8" s="5" t="n">
        <f aca="false">IF(ISNUMBER(SEARCH(";gobierno nacional;",U8)),1,0)</f>
        <v>0</v>
      </c>
      <c r="AR8" s="5" t="n">
        <f aca="false">IF(ISNUMBER(SEARCH(";otra institución pública;",U8)),1,0)</f>
        <v>0</v>
      </c>
      <c r="AS8" s="5" t="n">
        <f aca="false">IF(ISNUMBER(SEARCH(";empresa;",U8)),1,0)</f>
        <v>1</v>
      </c>
      <c r="AT8" s="5" t="n">
        <f aca="false">IF(ISNUMBER(SEARCH(";universidad;",U8)),1,0)</f>
        <v>0</v>
      </c>
      <c r="AU8" s="5" t="n">
        <f aca="false">IF(ISNUMBER(SEARCH(";sociedad civil;",U8)),1,0)</f>
        <v>1</v>
      </c>
      <c r="AV8" s="5" t="n">
        <f aca="false">IF(ISNUMBER(SEARCH(";organización internacional;",U8)),1,0)</f>
        <v>0</v>
      </c>
      <c r="AW8" s="5" t="n">
        <f aca="false">IF(N8="","",IF(AND(N8=1,('3 · Cálculo 2025 · f. nueva'!$C$25-C8)&gt;'3 · Cálculo 2025 · f. nueva'!$C$26),0,N8))</f>
        <v>2</v>
      </c>
      <c r="AX8" s="5" t="str">
        <f aca="false">IF(SUM(AP8:AV8)&lt;2,"",IF(AP8=1,"GL+","")&amp;IF(AQ8=1,"GN+","")&amp;IF(AR8=1,"OIP+","")&amp;IF(AS8=1,"EMP+","")&amp;IF(AT8=1,"UNI+","")&amp;IF(AU8=1,"SC+","")&amp;IF(AV8=1,"OI+",""))</f>
        <v>EMP+SC+</v>
      </c>
      <c r="AY8" s="5" t="n">
        <f aca="false">IF(AX8="",0,IF(COUNTIFS($A$1:A7,A8,$AX$1:AX7,AX8)=0,1,0))</f>
        <v>1</v>
      </c>
    </row>
    <row r="9" customFormat="false" ht="22.35" hidden="false" customHeight="false" outlineLevel="0" collapsed="false">
      <c r="A9" s="3" t="s">
        <v>96</v>
      </c>
      <c r="B9" s="3" t="s">
        <v>108</v>
      </c>
      <c r="C9" s="3" t="n">
        <v>2021</v>
      </c>
      <c r="D9" s="4" t="s">
        <v>109</v>
      </c>
      <c r="E9" s="4" t="s">
        <v>110</v>
      </c>
      <c r="F9" s="3" t="s">
        <v>105</v>
      </c>
      <c r="G9" s="4" t="s">
        <v>56</v>
      </c>
      <c r="H9" s="4" t="s">
        <v>83</v>
      </c>
      <c r="I9" s="3" t="s">
        <v>58</v>
      </c>
      <c r="J9" s="3" t="s">
        <v>92</v>
      </c>
      <c r="K9" s="3" t="s">
        <v>69</v>
      </c>
      <c r="L9" s="4" t="s">
        <v>61</v>
      </c>
      <c r="M9" s="4" t="s">
        <v>94</v>
      </c>
      <c r="N9" s="3" t="n">
        <v>2</v>
      </c>
      <c r="O9" s="4" t="s">
        <v>111</v>
      </c>
      <c r="P9" s="5" t="str">
        <f aca="false">";"&amp;LOWER(SUBSTITUTE(SUBSTITUTE(SUBSTITUTE(G9,"; ",";"),", ",";"),",",";"))&amp;";"</f>
        <v>;governanza colaborativa;</v>
      </c>
      <c r="Q9" s="5" t="str">
        <f aca="false">";"&amp;LOWER(SUBSTITUTE(SUBSTITUTE(SUBSTITUTE(H9,"; ",";"),", ",";"),",",";"))&amp;";"</f>
        <v>;análisis;</v>
      </c>
      <c r="R9" s="5" t="str">
        <f aca="false">";"&amp;LOWER(SUBSTITUTE(SUBSTITUTE(SUBSTITUTE(J9,"; ",";"),", ",";"),",",";"))&amp;";"</f>
        <v>;academia;</v>
      </c>
      <c r="S9" s="5" t="str">
        <f aca="false">";"&amp;LOWER(SUBSTITUTE(SUBSTITUTE(SUBSTITUTE(K9,"; ",";"),", ",";"),",",";"))&amp;";"</f>
        <v>;nacional;</v>
      </c>
      <c r="T9" s="5" t="str">
        <f aca="false">";"&amp;LOWER(SUBSTITUTE(SUBSTITUTE(SUBSTITUTE(L9,"; ",";"),", ",";"),",",";"))&amp;";"</f>
        <v>;nlp - tópicos;</v>
      </c>
      <c r="U9" s="5" t="str">
        <f aca="false">";"&amp;LOWER(SUBSTITUTE(SUBSTITUTE(SUBSTITUTE(M9,"; ",";"),", ",";"),",",";"))&amp;";"</f>
        <v>;universidad;</v>
      </c>
      <c r="V9" s="5" t="n">
        <f aca="false">IF(ISNUMBER(SEARCH(";participación digital;",P9)),1,0)</f>
        <v>0</v>
      </c>
      <c r="W9" s="5" t="n">
        <f aca="false">IF(OR(ISNUMBER(SEARCH(";governanza colaborativa;",P9)),ISNUMBER(SEARCH(";gobernanza colaborativa;",P9))),1,0)</f>
        <v>1</v>
      </c>
      <c r="X9" s="5" t="n">
        <f aca="false">IF(ISNUMBER(SEARCH(";mini públicos;",P9)),1,0)</f>
        <v>0</v>
      </c>
      <c r="Y9" s="5" t="n">
        <f aca="false">IF(ISNUMBER(SEARCH(";referendos e iniciativas populares;",P9)),1,0)</f>
        <v>0</v>
      </c>
      <c r="Z9" s="5" t="n">
        <f aca="false">IF(ISNUMBER(SEARCH(";presupuestos participativos;",P9)),1,0)</f>
        <v>0</v>
      </c>
      <c r="AA9" s="5" t="n">
        <f aca="false">IF(ISNUMBER(SEARCH("planif",Q9)),1,0)</f>
        <v>0</v>
      </c>
      <c r="AB9" s="5" t="n">
        <f aca="false">IF(ISNUMBER(SEARCH("implement",Q9)),1,0)</f>
        <v>0</v>
      </c>
      <c r="AC9" s="5" t="n">
        <f aca="false">IF(ISNUMBER(SEARCH("análisis",Q9)),1,0)</f>
        <v>1</v>
      </c>
      <c r="AD9" s="5" t="n">
        <f aca="false">IF(ISNUMBER(SEARCH("traducción",Q9)),1,0)</f>
        <v>0</v>
      </c>
      <c r="AE9" s="5" t="n">
        <f aca="false">IF(ISNUMBER(SEARCH("público",F9)),1,0)</f>
        <v>0</v>
      </c>
      <c r="AF9" s="5" t="n">
        <f aca="false">IF(ISNUMBER(SEARCH("privado",F9)),1,0)</f>
        <v>0</v>
      </c>
      <c r="AG9" s="5" t="n">
        <f aca="false">IF(ISNUMBER(SEARCH("mixto",F9)),1,0)</f>
        <v>1</v>
      </c>
      <c r="AH9" s="5" t="n">
        <f aca="false">IF(ISNUMBER(SEARCH("único",I9)),1,0)</f>
        <v>1</v>
      </c>
      <c r="AI9" s="5" t="n">
        <f aca="false">IF(ISNUMBER(SEARCH("plataforma",I9)),1,0)</f>
        <v>0</v>
      </c>
      <c r="AJ9" s="5" t="n">
        <f aca="false">IF(ISNUMBER(SEARCH(";industria;",R9)),1,0)</f>
        <v>0</v>
      </c>
      <c r="AK9" s="5" t="n">
        <f aca="false">IF(ISNUMBER(SEARCH(";academia;",R9)),1,0)</f>
        <v>1</v>
      </c>
      <c r="AL9" s="5" t="n">
        <f aca="false">IF(ISNUMBER(SEARCH(";gobierno;",R9)),1,0)</f>
        <v>0</v>
      </c>
      <c r="AM9" s="5" t="n">
        <f aca="false">IF(ISNUMBER(SEARCH(";sociedad civil;",R9)),1,0)</f>
        <v>0</v>
      </c>
      <c r="AN9" s="5" t="n">
        <f aca="false">IF(ISNUMBER(SEARCH(";nacional;",S9)),1,0)</f>
        <v>1</v>
      </c>
      <c r="AO9" s="5" t="n">
        <f aca="false">IF(ISNUMBER(SEARCH(";internacional;",S9)),1,0)</f>
        <v>0</v>
      </c>
      <c r="AP9" s="5" t="n">
        <f aca="false">IF(ISNUMBER(SEARCH(";gobierno local;",U9)),1,0)</f>
        <v>0</v>
      </c>
      <c r="AQ9" s="5" t="n">
        <f aca="false">IF(ISNUMBER(SEARCH(";gobierno nacional;",U9)),1,0)</f>
        <v>0</v>
      </c>
      <c r="AR9" s="5" t="n">
        <f aca="false">IF(ISNUMBER(SEARCH(";otra institución pública;",U9)),1,0)</f>
        <v>0</v>
      </c>
      <c r="AS9" s="5" t="n">
        <f aca="false">IF(ISNUMBER(SEARCH(";empresa;",U9)),1,0)</f>
        <v>0</v>
      </c>
      <c r="AT9" s="5" t="n">
        <f aca="false">IF(ISNUMBER(SEARCH(";universidad;",U9)),1,0)</f>
        <v>1</v>
      </c>
      <c r="AU9" s="5" t="n">
        <f aca="false">IF(ISNUMBER(SEARCH(";sociedad civil;",U9)),1,0)</f>
        <v>0</v>
      </c>
      <c r="AV9" s="5" t="n">
        <f aca="false">IF(ISNUMBER(SEARCH(";organización internacional;",U9)),1,0)</f>
        <v>0</v>
      </c>
      <c r="AW9" s="5" t="n">
        <f aca="false">IF(N9="","",IF(AND(N9=1,('3 · Cálculo 2025 · f. nueva'!$C$25-C9)&gt;'3 · Cálculo 2025 · f. nueva'!$C$26),0,N9))</f>
        <v>2</v>
      </c>
      <c r="AX9" s="5" t="str">
        <f aca="false">IF(SUM(AP9:AV9)&lt;2,"",IF(AP9=1,"GL+","")&amp;IF(AQ9=1,"GN+","")&amp;IF(AR9=1,"OIP+","")&amp;IF(AS9=1,"EMP+","")&amp;IF(AT9=1,"UNI+","")&amp;IF(AU9=1,"SC+","")&amp;IF(AV9=1,"OI+",""))</f>
        <v/>
      </c>
      <c r="AY9" s="5" t="n">
        <f aca="false">IF(AX9="",0,IF(COUNTIFS($A$1:A8,A9,$AX$1:AX8,AX9)=0,1,0))</f>
        <v>0</v>
      </c>
    </row>
    <row r="10" customFormat="false" ht="15" hidden="false" customHeight="false" outlineLevel="0" collapsed="false">
      <c r="A10" s="3" t="s">
        <v>96</v>
      </c>
      <c r="B10" s="3" t="s">
        <v>112</v>
      </c>
      <c r="C10" s="3" t="n">
        <v>2022</v>
      </c>
      <c r="D10" s="4" t="s">
        <v>113</v>
      </c>
      <c r="E10" s="4" t="s">
        <v>114</v>
      </c>
      <c r="F10" s="3" t="s">
        <v>82</v>
      </c>
      <c r="G10" s="4" t="s">
        <v>56</v>
      </c>
      <c r="H10" s="4" t="s">
        <v>83</v>
      </c>
      <c r="I10" s="3" t="s">
        <v>58</v>
      </c>
      <c r="J10" s="3" t="s">
        <v>84</v>
      </c>
      <c r="K10" s="3" t="s">
        <v>69</v>
      </c>
      <c r="L10" s="4" t="s">
        <v>61</v>
      </c>
      <c r="M10" s="4" t="s">
        <v>94</v>
      </c>
      <c r="N10" s="3" t="n">
        <v>2</v>
      </c>
      <c r="O10" s="4"/>
      <c r="P10" s="5" t="str">
        <f aca="false">";"&amp;LOWER(SUBSTITUTE(SUBSTITUTE(SUBSTITUTE(G10,"; ",";"),", ",";"),",",";"))&amp;";"</f>
        <v>;governanza colaborativa;</v>
      </c>
      <c r="Q10" s="5" t="str">
        <f aca="false">";"&amp;LOWER(SUBSTITUTE(SUBSTITUTE(SUBSTITUTE(H10,"; ",";"),", ",";"),",",";"))&amp;";"</f>
        <v>;análisis;</v>
      </c>
      <c r="R10" s="5" t="str">
        <f aca="false">";"&amp;LOWER(SUBSTITUTE(SUBSTITUTE(SUBSTITUTE(J10,"; ",";"),", ",";"),",",";"))&amp;";"</f>
        <v>;industria;</v>
      </c>
      <c r="S10" s="5" t="str">
        <f aca="false">";"&amp;LOWER(SUBSTITUTE(SUBSTITUTE(SUBSTITUTE(K10,"; ",";"),", ",";"),",",";"))&amp;";"</f>
        <v>;nacional;</v>
      </c>
      <c r="T10" s="5" t="str">
        <f aca="false">";"&amp;LOWER(SUBSTITUTE(SUBSTITUTE(SUBSTITUTE(L10,"; ",";"),", ",";"),",",";"))&amp;";"</f>
        <v>;nlp - tópicos;</v>
      </c>
      <c r="U10" s="5" t="str">
        <f aca="false">";"&amp;LOWER(SUBSTITUTE(SUBSTITUTE(SUBSTITUTE(M10,"; ",";"),", ",";"),",",";"))&amp;";"</f>
        <v>;universidad;</v>
      </c>
      <c r="V10" s="5" t="n">
        <f aca="false">IF(ISNUMBER(SEARCH(";participación digital;",P10)),1,0)</f>
        <v>0</v>
      </c>
      <c r="W10" s="5" t="n">
        <f aca="false">IF(OR(ISNUMBER(SEARCH(";governanza colaborativa;",P10)),ISNUMBER(SEARCH(";gobernanza colaborativa;",P10))),1,0)</f>
        <v>1</v>
      </c>
      <c r="X10" s="5" t="n">
        <f aca="false">IF(ISNUMBER(SEARCH(";mini públicos;",P10)),1,0)</f>
        <v>0</v>
      </c>
      <c r="Y10" s="5" t="n">
        <f aca="false">IF(ISNUMBER(SEARCH(";referendos e iniciativas populares;",P10)),1,0)</f>
        <v>0</v>
      </c>
      <c r="Z10" s="5" t="n">
        <f aca="false">IF(ISNUMBER(SEARCH(";presupuestos participativos;",P10)),1,0)</f>
        <v>0</v>
      </c>
      <c r="AA10" s="5" t="n">
        <f aca="false">IF(ISNUMBER(SEARCH("planif",Q10)),1,0)</f>
        <v>0</v>
      </c>
      <c r="AB10" s="5" t="n">
        <f aca="false">IF(ISNUMBER(SEARCH("implement",Q10)),1,0)</f>
        <v>0</v>
      </c>
      <c r="AC10" s="5" t="n">
        <f aca="false">IF(ISNUMBER(SEARCH("análisis",Q10)),1,0)</f>
        <v>1</v>
      </c>
      <c r="AD10" s="5" t="n">
        <f aca="false">IF(ISNUMBER(SEARCH("traducción",Q10)),1,0)</f>
        <v>0</v>
      </c>
      <c r="AE10" s="5" t="n">
        <f aca="false">IF(ISNUMBER(SEARCH("público",F10)),1,0)</f>
        <v>0</v>
      </c>
      <c r="AF10" s="5" t="n">
        <f aca="false">IF(ISNUMBER(SEARCH("privado",F10)),1,0)</f>
        <v>1</v>
      </c>
      <c r="AG10" s="5" t="n">
        <f aca="false">IF(ISNUMBER(SEARCH("mixto",F10)),1,0)</f>
        <v>0</v>
      </c>
      <c r="AH10" s="5" t="n">
        <f aca="false">IF(ISNUMBER(SEARCH("único",I10)),1,0)</f>
        <v>1</v>
      </c>
      <c r="AI10" s="5" t="n">
        <f aca="false">IF(ISNUMBER(SEARCH("plataforma",I10)),1,0)</f>
        <v>0</v>
      </c>
      <c r="AJ10" s="5" t="n">
        <f aca="false">IF(ISNUMBER(SEARCH(";industria;",R10)),1,0)</f>
        <v>1</v>
      </c>
      <c r="AK10" s="5" t="n">
        <f aca="false">IF(ISNUMBER(SEARCH(";academia;",R10)),1,0)</f>
        <v>0</v>
      </c>
      <c r="AL10" s="5" t="n">
        <f aca="false">IF(ISNUMBER(SEARCH(";gobierno;",R10)),1,0)</f>
        <v>0</v>
      </c>
      <c r="AM10" s="5" t="n">
        <f aca="false">IF(ISNUMBER(SEARCH(";sociedad civil;",R10)),1,0)</f>
        <v>0</v>
      </c>
      <c r="AN10" s="5" t="n">
        <f aca="false">IF(ISNUMBER(SEARCH(";nacional;",S10)),1,0)</f>
        <v>1</v>
      </c>
      <c r="AO10" s="5" t="n">
        <f aca="false">IF(ISNUMBER(SEARCH(";internacional;",S10)),1,0)</f>
        <v>0</v>
      </c>
      <c r="AP10" s="5" t="n">
        <f aca="false">IF(ISNUMBER(SEARCH(";gobierno local;",U10)),1,0)</f>
        <v>0</v>
      </c>
      <c r="AQ10" s="5" t="n">
        <f aca="false">IF(ISNUMBER(SEARCH(";gobierno nacional;",U10)),1,0)</f>
        <v>0</v>
      </c>
      <c r="AR10" s="5" t="n">
        <f aca="false">IF(ISNUMBER(SEARCH(";otra institución pública;",U10)),1,0)</f>
        <v>0</v>
      </c>
      <c r="AS10" s="5" t="n">
        <f aca="false">IF(ISNUMBER(SEARCH(";empresa;",U10)),1,0)</f>
        <v>0</v>
      </c>
      <c r="AT10" s="5" t="n">
        <f aca="false">IF(ISNUMBER(SEARCH(";universidad;",U10)),1,0)</f>
        <v>1</v>
      </c>
      <c r="AU10" s="5" t="n">
        <f aca="false">IF(ISNUMBER(SEARCH(";sociedad civil;",U10)),1,0)</f>
        <v>0</v>
      </c>
      <c r="AV10" s="5" t="n">
        <f aca="false">IF(ISNUMBER(SEARCH(";organización internacional;",U10)),1,0)</f>
        <v>0</v>
      </c>
      <c r="AW10" s="5" t="n">
        <f aca="false">IF(N10="","",IF(AND(N10=1,('3 · Cálculo 2025 · f. nueva'!$C$25-C10)&gt;'3 · Cálculo 2025 · f. nueva'!$C$26),0,N10))</f>
        <v>2</v>
      </c>
      <c r="AX10" s="5" t="str">
        <f aca="false">IF(SUM(AP10:AV10)&lt;2,"",IF(AP10=1,"GL+","")&amp;IF(AQ10=1,"GN+","")&amp;IF(AR10=1,"OIP+","")&amp;IF(AS10=1,"EMP+","")&amp;IF(AT10=1,"UNI+","")&amp;IF(AU10=1,"SC+","")&amp;IF(AV10=1,"OI+",""))</f>
        <v/>
      </c>
      <c r="AY10" s="5" t="n">
        <f aca="false">IF(AX10="",0,IF(COUNTIFS($A$1:A9,A10,$AX$1:AX9,AX10)=0,1,0))</f>
        <v>0</v>
      </c>
    </row>
    <row r="11" customFormat="false" ht="22.35" hidden="false" customHeight="false" outlineLevel="0" collapsed="false">
      <c r="A11" s="3" t="s">
        <v>96</v>
      </c>
      <c r="B11" s="3" t="s">
        <v>115</v>
      </c>
      <c r="C11" s="3" t="n">
        <v>2023</v>
      </c>
      <c r="D11" s="4" t="s">
        <v>116</v>
      </c>
      <c r="E11" s="4" t="s">
        <v>117</v>
      </c>
      <c r="F11" s="3" t="s">
        <v>55</v>
      </c>
      <c r="G11" s="4" t="s">
        <v>56</v>
      </c>
      <c r="H11" s="4" t="s">
        <v>83</v>
      </c>
      <c r="I11" s="3" t="s">
        <v>58</v>
      </c>
      <c r="J11" s="3" t="s">
        <v>84</v>
      </c>
      <c r="K11" s="3" t="s">
        <v>69</v>
      </c>
      <c r="L11" s="4" t="s">
        <v>61</v>
      </c>
      <c r="M11" s="4" t="s">
        <v>71</v>
      </c>
      <c r="N11" s="3" t="n">
        <v>2</v>
      </c>
      <c r="O11" s="4" t="s">
        <v>118</v>
      </c>
      <c r="P11" s="5" t="str">
        <f aca="false">";"&amp;LOWER(SUBSTITUTE(SUBSTITUTE(SUBSTITUTE(G11,"; ",";"),", ",";"),",",";"))&amp;";"</f>
        <v>;governanza colaborativa;</v>
      </c>
      <c r="Q11" s="5" t="str">
        <f aca="false">";"&amp;LOWER(SUBSTITUTE(SUBSTITUTE(SUBSTITUTE(H11,"; ",";"),", ",";"),",",";"))&amp;";"</f>
        <v>;análisis;</v>
      </c>
      <c r="R11" s="5" t="str">
        <f aca="false">";"&amp;LOWER(SUBSTITUTE(SUBSTITUTE(SUBSTITUTE(J11,"; ",";"),", ",";"),",",";"))&amp;";"</f>
        <v>;industria;</v>
      </c>
      <c r="S11" s="5" t="str">
        <f aca="false">";"&amp;LOWER(SUBSTITUTE(SUBSTITUTE(SUBSTITUTE(K11,"; ",";"),", ",";"),",",";"))&amp;";"</f>
        <v>;nacional;</v>
      </c>
      <c r="T11" s="5" t="str">
        <f aca="false">";"&amp;LOWER(SUBSTITUTE(SUBSTITUTE(SUBSTITUTE(L11,"; ",";"),", ",";"),",",";"))&amp;";"</f>
        <v>;nlp - tópicos;</v>
      </c>
      <c r="U11" s="5" t="str">
        <f aca="false">";"&amp;LOWER(SUBSTITUTE(SUBSTITUTE(SUBSTITUTE(M11,"; ",";"),", ",";"),",",";"))&amp;";"</f>
        <v>;gobierno nacional;</v>
      </c>
      <c r="V11" s="5" t="n">
        <f aca="false">IF(ISNUMBER(SEARCH(";participación digital;",P11)),1,0)</f>
        <v>0</v>
      </c>
      <c r="W11" s="5" t="n">
        <f aca="false">IF(OR(ISNUMBER(SEARCH(";governanza colaborativa;",P11)),ISNUMBER(SEARCH(";gobernanza colaborativa;",P11))),1,0)</f>
        <v>1</v>
      </c>
      <c r="X11" s="5" t="n">
        <f aca="false">IF(ISNUMBER(SEARCH(";mini públicos;",P11)),1,0)</f>
        <v>0</v>
      </c>
      <c r="Y11" s="5" t="n">
        <f aca="false">IF(ISNUMBER(SEARCH(";referendos e iniciativas populares;",P11)),1,0)</f>
        <v>0</v>
      </c>
      <c r="Z11" s="5" t="n">
        <f aca="false">IF(ISNUMBER(SEARCH(";presupuestos participativos;",P11)),1,0)</f>
        <v>0</v>
      </c>
      <c r="AA11" s="5" t="n">
        <f aca="false">IF(ISNUMBER(SEARCH("planif",Q11)),1,0)</f>
        <v>0</v>
      </c>
      <c r="AB11" s="5" t="n">
        <f aca="false">IF(ISNUMBER(SEARCH("implement",Q11)),1,0)</f>
        <v>0</v>
      </c>
      <c r="AC11" s="5" t="n">
        <f aca="false">IF(ISNUMBER(SEARCH("análisis",Q11)),1,0)</f>
        <v>1</v>
      </c>
      <c r="AD11" s="5" t="n">
        <f aca="false">IF(ISNUMBER(SEARCH("traducción",Q11)),1,0)</f>
        <v>0</v>
      </c>
      <c r="AE11" s="5" t="n">
        <f aca="false">IF(ISNUMBER(SEARCH("público",F11)),1,0)</f>
        <v>1</v>
      </c>
      <c r="AF11" s="5" t="n">
        <f aca="false">IF(ISNUMBER(SEARCH("privado",F11)),1,0)</f>
        <v>0</v>
      </c>
      <c r="AG11" s="5" t="n">
        <f aca="false">IF(ISNUMBER(SEARCH("mixto",F11)),1,0)</f>
        <v>0</v>
      </c>
      <c r="AH11" s="5" t="n">
        <f aca="false">IF(ISNUMBER(SEARCH("único",I11)),1,0)</f>
        <v>1</v>
      </c>
      <c r="AI11" s="5" t="n">
        <f aca="false">IF(ISNUMBER(SEARCH("plataforma",I11)),1,0)</f>
        <v>0</v>
      </c>
      <c r="AJ11" s="5" t="n">
        <f aca="false">IF(ISNUMBER(SEARCH(";industria;",R11)),1,0)</f>
        <v>1</v>
      </c>
      <c r="AK11" s="5" t="n">
        <f aca="false">IF(ISNUMBER(SEARCH(";academia;",R11)),1,0)</f>
        <v>0</v>
      </c>
      <c r="AL11" s="5" t="n">
        <f aca="false">IF(ISNUMBER(SEARCH(";gobierno;",R11)),1,0)</f>
        <v>0</v>
      </c>
      <c r="AM11" s="5" t="n">
        <f aca="false">IF(ISNUMBER(SEARCH(";sociedad civil;",R11)),1,0)</f>
        <v>0</v>
      </c>
      <c r="AN11" s="5" t="n">
        <f aca="false">IF(ISNUMBER(SEARCH(";nacional;",S11)),1,0)</f>
        <v>1</v>
      </c>
      <c r="AO11" s="5" t="n">
        <f aca="false">IF(ISNUMBER(SEARCH(";internacional;",S11)),1,0)</f>
        <v>0</v>
      </c>
      <c r="AP11" s="5" t="n">
        <f aca="false">IF(ISNUMBER(SEARCH(";gobierno local;",U11)),1,0)</f>
        <v>0</v>
      </c>
      <c r="AQ11" s="5" t="n">
        <f aca="false">IF(ISNUMBER(SEARCH(";gobierno nacional;",U11)),1,0)</f>
        <v>1</v>
      </c>
      <c r="AR11" s="5" t="n">
        <f aca="false">IF(ISNUMBER(SEARCH(";otra institución pública;",U11)),1,0)</f>
        <v>0</v>
      </c>
      <c r="AS11" s="5" t="n">
        <f aca="false">IF(ISNUMBER(SEARCH(";empresa;",U11)),1,0)</f>
        <v>0</v>
      </c>
      <c r="AT11" s="5" t="n">
        <f aca="false">IF(ISNUMBER(SEARCH(";universidad;",U11)),1,0)</f>
        <v>0</v>
      </c>
      <c r="AU11" s="5" t="n">
        <f aca="false">IF(ISNUMBER(SEARCH(";sociedad civil;",U11)),1,0)</f>
        <v>0</v>
      </c>
      <c r="AV11" s="5" t="n">
        <f aca="false">IF(ISNUMBER(SEARCH(";organización internacional;",U11)),1,0)</f>
        <v>0</v>
      </c>
      <c r="AW11" s="5" t="n">
        <f aca="false">IF(N11="","",IF(AND(N11=1,('3 · Cálculo 2025 · f. nueva'!$C$25-C11)&gt;'3 · Cálculo 2025 · f. nueva'!$C$26),0,N11))</f>
        <v>2</v>
      </c>
      <c r="AX11" s="5" t="str">
        <f aca="false">IF(SUM(AP11:AV11)&lt;2,"",IF(AP11=1,"GL+","")&amp;IF(AQ11=1,"GN+","")&amp;IF(AR11=1,"OIP+","")&amp;IF(AS11=1,"EMP+","")&amp;IF(AT11=1,"UNI+","")&amp;IF(AU11=1,"SC+","")&amp;IF(AV11=1,"OI+",""))</f>
        <v/>
      </c>
      <c r="AY11" s="5" t="n">
        <f aca="false">IF(AX11="",0,IF(COUNTIFS($A$1:A10,A11,$AX$1:AX10,AX11)=0,1,0))</f>
        <v>0</v>
      </c>
    </row>
    <row r="12" customFormat="false" ht="22.35" hidden="false" customHeight="false" outlineLevel="0" collapsed="false">
      <c r="A12" s="3" t="s">
        <v>96</v>
      </c>
      <c r="B12" s="3" t="s">
        <v>115</v>
      </c>
      <c r="C12" s="3" t="n">
        <v>2023</v>
      </c>
      <c r="D12" s="4" t="s">
        <v>119</v>
      </c>
      <c r="E12" s="4" t="s">
        <v>117</v>
      </c>
      <c r="F12" s="3" t="s">
        <v>55</v>
      </c>
      <c r="G12" s="4" t="s">
        <v>56</v>
      </c>
      <c r="H12" s="4" t="s">
        <v>83</v>
      </c>
      <c r="I12" s="3" t="s">
        <v>58</v>
      </c>
      <c r="J12" s="3" t="s">
        <v>84</v>
      </c>
      <c r="K12" s="3" t="s">
        <v>69</v>
      </c>
      <c r="L12" s="4" t="s">
        <v>120</v>
      </c>
      <c r="M12" s="4" t="s">
        <v>71</v>
      </c>
      <c r="N12" s="3" t="n">
        <v>2</v>
      </c>
      <c r="O12" s="4" t="s">
        <v>118</v>
      </c>
      <c r="P12" s="5" t="str">
        <f aca="false">";"&amp;LOWER(SUBSTITUTE(SUBSTITUTE(SUBSTITUTE(G12,"; ",";"),", ",";"),",",";"))&amp;";"</f>
        <v>;governanza colaborativa;</v>
      </c>
      <c r="Q12" s="5" t="str">
        <f aca="false">";"&amp;LOWER(SUBSTITUTE(SUBSTITUTE(SUBSTITUTE(H12,"; ",";"),", ",";"),",",";"))&amp;";"</f>
        <v>;análisis;</v>
      </c>
      <c r="R12" s="5" t="str">
        <f aca="false">";"&amp;LOWER(SUBSTITUTE(SUBSTITUTE(SUBSTITUTE(J12,"; ",";"),", ",";"),",",";"))&amp;";"</f>
        <v>;industria;</v>
      </c>
      <c r="S12" s="5" t="str">
        <f aca="false">";"&amp;LOWER(SUBSTITUTE(SUBSTITUTE(SUBSTITUTE(K12,"; ",";"),", ",";"),",",";"))&amp;";"</f>
        <v>;nacional;</v>
      </c>
      <c r="T12" s="5" t="str">
        <f aca="false">";"&amp;LOWER(SUBSTITUTE(SUBSTITUTE(SUBSTITUTE(L12,"; ",";"),", ",";"),",",";"))&amp;";"</f>
        <v>;voz a texto;nlp - tópicos;</v>
      </c>
      <c r="U12" s="5" t="str">
        <f aca="false">";"&amp;LOWER(SUBSTITUTE(SUBSTITUTE(SUBSTITUTE(M12,"; ",";"),", ",";"),",",";"))&amp;";"</f>
        <v>;gobierno nacional;</v>
      </c>
      <c r="V12" s="5" t="n">
        <f aca="false">IF(ISNUMBER(SEARCH(";participación digital;",P12)),1,0)</f>
        <v>0</v>
      </c>
      <c r="W12" s="5" t="n">
        <f aca="false">IF(OR(ISNUMBER(SEARCH(";governanza colaborativa;",P12)),ISNUMBER(SEARCH(";gobernanza colaborativa;",P12))),1,0)</f>
        <v>1</v>
      </c>
      <c r="X12" s="5" t="n">
        <f aca="false">IF(ISNUMBER(SEARCH(";mini públicos;",P12)),1,0)</f>
        <v>0</v>
      </c>
      <c r="Y12" s="5" t="n">
        <f aca="false">IF(ISNUMBER(SEARCH(";referendos e iniciativas populares;",P12)),1,0)</f>
        <v>0</v>
      </c>
      <c r="Z12" s="5" t="n">
        <f aca="false">IF(ISNUMBER(SEARCH(";presupuestos participativos;",P12)),1,0)</f>
        <v>0</v>
      </c>
      <c r="AA12" s="5" t="n">
        <f aca="false">IF(ISNUMBER(SEARCH("planif",Q12)),1,0)</f>
        <v>0</v>
      </c>
      <c r="AB12" s="5" t="n">
        <f aca="false">IF(ISNUMBER(SEARCH("implement",Q12)),1,0)</f>
        <v>0</v>
      </c>
      <c r="AC12" s="5" t="n">
        <f aca="false">IF(ISNUMBER(SEARCH("análisis",Q12)),1,0)</f>
        <v>1</v>
      </c>
      <c r="AD12" s="5" t="n">
        <f aca="false">IF(ISNUMBER(SEARCH("traducción",Q12)),1,0)</f>
        <v>0</v>
      </c>
      <c r="AE12" s="5" t="n">
        <f aca="false">IF(ISNUMBER(SEARCH("público",F12)),1,0)</f>
        <v>1</v>
      </c>
      <c r="AF12" s="5" t="n">
        <f aca="false">IF(ISNUMBER(SEARCH("privado",F12)),1,0)</f>
        <v>0</v>
      </c>
      <c r="AG12" s="5" t="n">
        <f aca="false">IF(ISNUMBER(SEARCH("mixto",F12)),1,0)</f>
        <v>0</v>
      </c>
      <c r="AH12" s="5" t="n">
        <f aca="false">IF(ISNUMBER(SEARCH("único",I12)),1,0)</f>
        <v>1</v>
      </c>
      <c r="AI12" s="5" t="n">
        <f aca="false">IF(ISNUMBER(SEARCH("plataforma",I12)),1,0)</f>
        <v>0</v>
      </c>
      <c r="AJ12" s="5" t="n">
        <f aca="false">IF(ISNUMBER(SEARCH(";industria;",R12)),1,0)</f>
        <v>1</v>
      </c>
      <c r="AK12" s="5" t="n">
        <f aca="false">IF(ISNUMBER(SEARCH(";academia;",R12)),1,0)</f>
        <v>0</v>
      </c>
      <c r="AL12" s="5" t="n">
        <f aca="false">IF(ISNUMBER(SEARCH(";gobierno;",R12)),1,0)</f>
        <v>0</v>
      </c>
      <c r="AM12" s="5" t="n">
        <f aca="false">IF(ISNUMBER(SEARCH(";sociedad civil;",R12)),1,0)</f>
        <v>0</v>
      </c>
      <c r="AN12" s="5" t="n">
        <f aca="false">IF(ISNUMBER(SEARCH(";nacional;",S12)),1,0)</f>
        <v>1</v>
      </c>
      <c r="AO12" s="5" t="n">
        <f aca="false">IF(ISNUMBER(SEARCH(";internacional;",S12)),1,0)</f>
        <v>0</v>
      </c>
      <c r="AP12" s="5" t="n">
        <f aca="false">IF(ISNUMBER(SEARCH(";gobierno local;",U12)),1,0)</f>
        <v>0</v>
      </c>
      <c r="AQ12" s="5" t="n">
        <f aca="false">IF(ISNUMBER(SEARCH(";gobierno nacional;",U12)),1,0)</f>
        <v>1</v>
      </c>
      <c r="AR12" s="5" t="n">
        <f aca="false">IF(ISNUMBER(SEARCH(";otra institución pública;",U12)),1,0)</f>
        <v>0</v>
      </c>
      <c r="AS12" s="5" t="n">
        <f aca="false">IF(ISNUMBER(SEARCH(";empresa;",U12)),1,0)</f>
        <v>0</v>
      </c>
      <c r="AT12" s="5" t="n">
        <f aca="false">IF(ISNUMBER(SEARCH(";universidad;",U12)),1,0)</f>
        <v>0</v>
      </c>
      <c r="AU12" s="5" t="n">
        <f aca="false">IF(ISNUMBER(SEARCH(";sociedad civil;",U12)),1,0)</f>
        <v>0</v>
      </c>
      <c r="AV12" s="5" t="n">
        <f aca="false">IF(ISNUMBER(SEARCH(";organización internacional;",U12)),1,0)</f>
        <v>0</v>
      </c>
      <c r="AW12" s="5" t="n">
        <f aca="false">IF(N12="","",IF(AND(N12=1,('3 · Cálculo 2025 · f. nueva'!$C$25-C12)&gt;'3 · Cálculo 2025 · f. nueva'!$C$26),0,N12))</f>
        <v>2</v>
      </c>
      <c r="AX12" s="5" t="str">
        <f aca="false">IF(SUM(AP12:AV12)&lt;2,"",IF(AP12=1,"GL+","")&amp;IF(AQ12=1,"GN+","")&amp;IF(AR12=1,"OIP+","")&amp;IF(AS12=1,"EMP+","")&amp;IF(AT12=1,"UNI+","")&amp;IF(AU12=1,"SC+","")&amp;IF(AV12=1,"OI+",""))</f>
        <v/>
      </c>
      <c r="AY12" s="5" t="n">
        <f aca="false">IF(AX12="",0,IF(COUNTIFS($A$1:A11,A12,$AX$1:AX11,AX12)=0,1,0))</f>
        <v>0</v>
      </c>
    </row>
    <row r="13" customFormat="false" ht="22.35" hidden="false" customHeight="false" outlineLevel="0" collapsed="false">
      <c r="A13" s="3" t="s">
        <v>96</v>
      </c>
      <c r="B13" s="3" t="s">
        <v>121</v>
      </c>
      <c r="C13" s="3" t="n">
        <v>2023</v>
      </c>
      <c r="D13" s="4" t="s">
        <v>122</v>
      </c>
      <c r="E13" s="4" t="s">
        <v>114</v>
      </c>
      <c r="F13" s="3" t="s">
        <v>82</v>
      </c>
      <c r="G13" s="4" t="s">
        <v>56</v>
      </c>
      <c r="H13" s="4" t="s">
        <v>57</v>
      </c>
      <c r="I13" s="3" t="s">
        <v>58</v>
      </c>
      <c r="J13" s="3" t="s">
        <v>84</v>
      </c>
      <c r="K13" s="3" t="s">
        <v>69</v>
      </c>
      <c r="L13" s="4" t="s">
        <v>61</v>
      </c>
      <c r="M13" s="4" t="s">
        <v>94</v>
      </c>
      <c r="N13" s="3" t="n">
        <v>2</v>
      </c>
      <c r="O13" s="4"/>
      <c r="P13" s="5" t="str">
        <f aca="false">";"&amp;LOWER(SUBSTITUTE(SUBSTITUTE(SUBSTITUTE(G13,"; ",";"),", ",";"),",",";"))&amp;";"</f>
        <v>;governanza colaborativa;</v>
      </c>
      <c r="Q13" s="5" t="str">
        <f aca="false">";"&amp;LOWER(SUBSTITUTE(SUBSTITUTE(SUBSTITUTE(H13,"; ",";"),", ",";"),",",";"))&amp;";"</f>
        <v>;implementación;análisis;</v>
      </c>
      <c r="R13" s="5" t="str">
        <f aca="false">";"&amp;LOWER(SUBSTITUTE(SUBSTITUTE(SUBSTITUTE(J13,"; ",";"),", ",";"),",",";"))&amp;";"</f>
        <v>;industria;</v>
      </c>
      <c r="S13" s="5" t="str">
        <f aca="false">";"&amp;LOWER(SUBSTITUTE(SUBSTITUTE(SUBSTITUTE(K13,"; ",";"),", ",";"),",",";"))&amp;";"</f>
        <v>;nacional;</v>
      </c>
      <c r="T13" s="5" t="str">
        <f aca="false">";"&amp;LOWER(SUBSTITUTE(SUBSTITUTE(SUBSTITUTE(L13,"; ",";"),", ",";"),",",";"))&amp;";"</f>
        <v>;nlp - tópicos;</v>
      </c>
      <c r="U13" s="5" t="str">
        <f aca="false">";"&amp;LOWER(SUBSTITUTE(SUBSTITUTE(SUBSTITUTE(M13,"; ",";"),", ",";"),",",";"))&amp;";"</f>
        <v>;universidad;</v>
      </c>
      <c r="V13" s="5" t="n">
        <f aca="false">IF(ISNUMBER(SEARCH(";participación digital;",P13)),1,0)</f>
        <v>0</v>
      </c>
      <c r="W13" s="5" t="n">
        <f aca="false">IF(OR(ISNUMBER(SEARCH(";governanza colaborativa;",P13)),ISNUMBER(SEARCH(";gobernanza colaborativa;",P13))),1,0)</f>
        <v>1</v>
      </c>
      <c r="X13" s="5" t="n">
        <f aca="false">IF(ISNUMBER(SEARCH(";mini públicos;",P13)),1,0)</f>
        <v>0</v>
      </c>
      <c r="Y13" s="5" t="n">
        <f aca="false">IF(ISNUMBER(SEARCH(";referendos e iniciativas populares;",P13)),1,0)</f>
        <v>0</v>
      </c>
      <c r="Z13" s="5" t="n">
        <f aca="false">IF(ISNUMBER(SEARCH(";presupuestos participativos;",P13)),1,0)</f>
        <v>0</v>
      </c>
      <c r="AA13" s="5" t="n">
        <f aca="false">IF(ISNUMBER(SEARCH("planif",Q13)),1,0)</f>
        <v>0</v>
      </c>
      <c r="AB13" s="5" t="n">
        <f aca="false">IF(ISNUMBER(SEARCH("implement",Q13)),1,0)</f>
        <v>1</v>
      </c>
      <c r="AC13" s="5" t="n">
        <f aca="false">IF(ISNUMBER(SEARCH("análisis",Q13)),1,0)</f>
        <v>1</v>
      </c>
      <c r="AD13" s="5" t="n">
        <f aca="false">IF(ISNUMBER(SEARCH("traducción",Q13)),1,0)</f>
        <v>0</v>
      </c>
      <c r="AE13" s="5" t="n">
        <f aca="false">IF(ISNUMBER(SEARCH("público",F13)),1,0)</f>
        <v>0</v>
      </c>
      <c r="AF13" s="5" t="n">
        <f aca="false">IF(ISNUMBER(SEARCH("privado",F13)),1,0)</f>
        <v>1</v>
      </c>
      <c r="AG13" s="5" t="n">
        <f aca="false">IF(ISNUMBER(SEARCH("mixto",F13)),1,0)</f>
        <v>0</v>
      </c>
      <c r="AH13" s="5" t="n">
        <f aca="false">IF(ISNUMBER(SEARCH("único",I13)),1,0)</f>
        <v>1</v>
      </c>
      <c r="AI13" s="5" t="n">
        <f aca="false">IF(ISNUMBER(SEARCH("plataforma",I13)),1,0)</f>
        <v>0</v>
      </c>
      <c r="AJ13" s="5" t="n">
        <f aca="false">IF(ISNUMBER(SEARCH(";industria;",R13)),1,0)</f>
        <v>1</v>
      </c>
      <c r="AK13" s="5" t="n">
        <f aca="false">IF(ISNUMBER(SEARCH(";academia;",R13)),1,0)</f>
        <v>0</v>
      </c>
      <c r="AL13" s="5" t="n">
        <f aca="false">IF(ISNUMBER(SEARCH(";gobierno;",R13)),1,0)</f>
        <v>0</v>
      </c>
      <c r="AM13" s="5" t="n">
        <f aca="false">IF(ISNUMBER(SEARCH(";sociedad civil;",R13)),1,0)</f>
        <v>0</v>
      </c>
      <c r="AN13" s="5" t="n">
        <f aca="false">IF(ISNUMBER(SEARCH(";nacional;",S13)),1,0)</f>
        <v>1</v>
      </c>
      <c r="AO13" s="5" t="n">
        <f aca="false">IF(ISNUMBER(SEARCH(";internacional;",S13)),1,0)</f>
        <v>0</v>
      </c>
      <c r="AP13" s="5" t="n">
        <f aca="false">IF(ISNUMBER(SEARCH(";gobierno local;",U13)),1,0)</f>
        <v>0</v>
      </c>
      <c r="AQ13" s="5" t="n">
        <f aca="false">IF(ISNUMBER(SEARCH(";gobierno nacional;",U13)),1,0)</f>
        <v>0</v>
      </c>
      <c r="AR13" s="5" t="n">
        <f aca="false">IF(ISNUMBER(SEARCH(";otra institución pública;",U13)),1,0)</f>
        <v>0</v>
      </c>
      <c r="AS13" s="5" t="n">
        <f aca="false">IF(ISNUMBER(SEARCH(";empresa;",U13)),1,0)</f>
        <v>0</v>
      </c>
      <c r="AT13" s="5" t="n">
        <f aca="false">IF(ISNUMBER(SEARCH(";universidad;",U13)),1,0)</f>
        <v>1</v>
      </c>
      <c r="AU13" s="5" t="n">
        <f aca="false">IF(ISNUMBER(SEARCH(";sociedad civil;",U13)),1,0)</f>
        <v>0</v>
      </c>
      <c r="AV13" s="5" t="n">
        <f aca="false">IF(ISNUMBER(SEARCH(";organización internacional;",U13)),1,0)</f>
        <v>0</v>
      </c>
      <c r="AW13" s="5" t="n">
        <f aca="false">IF(N13="","",IF(AND(N13=1,('3 · Cálculo 2025 · f. nueva'!$C$25-C13)&gt;'3 · Cálculo 2025 · f. nueva'!$C$26),0,N13))</f>
        <v>2</v>
      </c>
      <c r="AX13" s="5" t="str">
        <f aca="false">IF(SUM(AP13:AV13)&lt;2,"",IF(AP13=1,"GL+","")&amp;IF(AQ13=1,"GN+","")&amp;IF(AR13=1,"OIP+","")&amp;IF(AS13=1,"EMP+","")&amp;IF(AT13=1,"UNI+","")&amp;IF(AU13=1,"SC+","")&amp;IF(AV13=1,"OI+",""))</f>
        <v/>
      </c>
      <c r="AY13" s="5" t="n">
        <f aca="false">IF(AX13="",0,IF(COUNTIFS($A$1:A12,A13,$AX$1:AX12,AX13)=0,1,0))</f>
        <v>0</v>
      </c>
    </row>
    <row r="14" customFormat="false" ht="32.8" hidden="false" customHeight="false" outlineLevel="0" collapsed="false">
      <c r="A14" s="3" t="s">
        <v>96</v>
      </c>
      <c r="B14" s="3" t="s">
        <v>123</v>
      </c>
      <c r="C14" s="3" t="n">
        <v>2023</v>
      </c>
      <c r="D14" s="4" t="s">
        <v>124</v>
      </c>
      <c r="E14" s="4" t="s">
        <v>114</v>
      </c>
      <c r="F14" s="3" t="s">
        <v>82</v>
      </c>
      <c r="G14" s="4" t="s">
        <v>56</v>
      </c>
      <c r="H14" s="4" t="s">
        <v>83</v>
      </c>
      <c r="I14" s="3" t="s">
        <v>58</v>
      </c>
      <c r="J14" s="3" t="s">
        <v>84</v>
      </c>
      <c r="K14" s="3" t="s">
        <v>69</v>
      </c>
      <c r="L14" s="4" t="s">
        <v>61</v>
      </c>
      <c r="M14" s="4" t="s">
        <v>94</v>
      </c>
      <c r="N14" s="3" t="n">
        <v>2</v>
      </c>
      <c r="O14" s="4"/>
      <c r="P14" s="5" t="str">
        <f aca="false">";"&amp;LOWER(SUBSTITUTE(SUBSTITUTE(SUBSTITUTE(G14,"; ",";"),", ",";"),",",";"))&amp;";"</f>
        <v>;governanza colaborativa;</v>
      </c>
      <c r="Q14" s="5" t="str">
        <f aca="false">";"&amp;LOWER(SUBSTITUTE(SUBSTITUTE(SUBSTITUTE(H14,"; ",";"),", ",";"),",",";"))&amp;";"</f>
        <v>;análisis;</v>
      </c>
      <c r="R14" s="5" t="str">
        <f aca="false">";"&amp;LOWER(SUBSTITUTE(SUBSTITUTE(SUBSTITUTE(J14,"; ",";"),", ",";"),",",";"))&amp;";"</f>
        <v>;industria;</v>
      </c>
      <c r="S14" s="5" t="str">
        <f aca="false">";"&amp;LOWER(SUBSTITUTE(SUBSTITUTE(SUBSTITUTE(K14,"; ",";"),", ",";"),",",";"))&amp;";"</f>
        <v>;nacional;</v>
      </c>
      <c r="T14" s="5" t="str">
        <f aca="false">";"&amp;LOWER(SUBSTITUTE(SUBSTITUTE(SUBSTITUTE(L14,"; ",";"),", ",";"),",",";"))&amp;";"</f>
        <v>;nlp - tópicos;</v>
      </c>
      <c r="U14" s="5" t="str">
        <f aca="false">";"&amp;LOWER(SUBSTITUTE(SUBSTITUTE(SUBSTITUTE(M14,"; ",";"),", ",";"),",",";"))&amp;";"</f>
        <v>;universidad;</v>
      </c>
      <c r="V14" s="5" t="n">
        <f aca="false">IF(ISNUMBER(SEARCH(";participación digital;",P14)),1,0)</f>
        <v>0</v>
      </c>
      <c r="W14" s="5" t="n">
        <f aca="false">IF(OR(ISNUMBER(SEARCH(";governanza colaborativa;",P14)),ISNUMBER(SEARCH(";gobernanza colaborativa;",P14))),1,0)</f>
        <v>1</v>
      </c>
      <c r="X14" s="5" t="n">
        <f aca="false">IF(ISNUMBER(SEARCH(";mini públicos;",P14)),1,0)</f>
        <v>0</v>
      </c>
      <c r="Y14" s="5" t="n">
        <f aca="false">IF(ISNUMBER(SEARCH(";referendos e iniciativas populares;",P14)),1,0)</f>
        <v>0</v>
      </c>
      <c r="Z14" s="5" t="n">
        <f aca="false">IF(ISNUMBER(SEARCH(";presupuestos participativos;",P14)),1,0)</f>
        <v>0</v>
      </c>
      <c r="AA14" s="5" t="n">
        <f aca="false">IF(ISNUMBER(SEARCH("planif",Q14)),1,0)</f>
        <v>0</v>
      </c>
      <c r="AB14" s="5" t="n">
        <f aca="false">IF(ISNUMBER(SEARCH("implement",Q14)),1,0)</f>
        <v>0</v>
      </c>
      <c r="AC14" s="5" t="n">
        <f aca="false">IF(ISNUMBER(SEARCH("análisis",Q14)),1,0)</f>
        <v>1</v>
      </c>
      <c r="AD14" s="5" t="n">
        <f aca="false">IF(ISNUMBER(SEARCH("traducción",Q14)),1,0)</f>
        <v>0</v>
      </c>
      <c r="AE14" s="5" t="n">
        <f aca="false">IF(ISNUMBER(SEARCH("público",F14)),1,0)</f>
        <v>0</v>
      </c>
      <c r="AF14" s="5" t="n">
        <f aca="false">IF(ISNUMBER(SEARCH("privado",F14)),1,0)</f>
        <v>1</v>
      </c>
      <c r="AG14" s="5" t="n">
        <f aca="false">IF(ISNUMBER(SEARCH("mixto",F14)),1,0)</f>
        <v>0</v>
      </c>
      <c r="AH14" s="5" t="n">
        <f aca="false">IF(ISNUMBER(SEARCH("único",I14)),1,0)</f>
        <v>1</v>
      </c>
      <c r="AI14" s="5" t="n">
        <f aca="false">IF(ISNUMBER(SEARCH("plataforma",I14)),1,0)</f>
        <v>0</v>
      </c>
      <c r="AJ14" s="5" t="n">
        <f aca="false">IF(ISNUMBER(SEARCH(";industria;",R14)),1,0)</f>
        <v>1</v>
      </c>
      <c r="AK14" s="5" t="n">
        <f aca="false">IF(ISNUMBER(SEARCH(";academia;",R14)),1,0)</f>
        <v>0</v>
      </c>
      <c r="AL14" s="5" t="n">
        <f aca="false">IF(ISNUMBER(SEARCH(";gobierno;",R14)),1,0)</f>
        <v>0</v>
      </c>
      <c r="AM14" s="5" t="n">
        <f aca="false">IF(ISNUMBER(SEARCH(";sociedad civil;",R14)),1,0)</f>
        <v>0</v>
      </c>
      <c r="AN14" s="5" t="n">
        <f aca="false">IF(ISNUMBER(SEARCH(";nacional;",S14)),1,0)</f>
        <v>1</v>
      </c>
      <c r="AO14" s="5" t="n">
        <f aca="false">IF(ISNUMBER(SEARCH(";internacional;",S14)),1,0)</f>
        <v>0</v>
      </c>
      <c r="AP14" s="5" t="n">
        <f aca="false">IF(ISNUMBER(SEARCH(";gobierno local;",U14)),1,0)</f>
        <v>0</v>
      </c>
      <c r="AQ14" s="5" t="n">
        <f aca="false">IF(ISNUMBER(SEARCH(";gobierno nacional;",U14)),1,0)</f>
        <v>0</v>
      </c>
      <c r="AR14" s="5" t="n">
        <f aca="false">IF(ISNUMBER(SEARCH(";otra institución pública;",U14)),1,0)</f>
        <v>0</v>
      </c>
      <c r="AS14" s="5" t="n">
        <f aca="false">IF(ISNUMBER(SEARCH(";empresa;",U14)),1,0)</f>
        <v>0</v>
      </c>
      <c r="AT14" s="5" t="n">
        <f aca="false">IF(ISNUMBER(SEARCH(";universidad;",U14)),1,0)</f>
        <v>1</v>
      </c>
      <c r="AU14" s="5" t="n">
        <f aca="false">IF(ISNUMBER(SEARCH(";sociedad civil;",U14)),1,0)</f>
        <v>0</v>
      </c>
      <c r="AV14" s="5" t="n">
        <f aca="false">IF(ISNUMBER(SEARCH(";organización internacional;",U14)),1,0)</f>
        <v>0</v>
      </c>
      <c r="AW14" s="5" t="n">
        <f aca="false">IF(N14="","",IF(AND(N14=1,('3 · Cálculo 2025 · f. nueva'!$C$25-C14)&gt;'3 · Cálculo 2025 · f. nueva'!$C$26),0,N14))</f>
        <v>2</v>
      </c>
      <c r="AX14" s="5" t="str">
        <f aca="false">IF(SUM(AP14:AV14)&lt;2,"",IF(AP14=1,"GL+","")&amp;IF(AQ14=1,"GN+","")&amp;IF(AR14=1,"OIP+","")&amp;IF(AS14=1,"EMP+","")&amp;IF(AT14=1,"UNI+","")&amp;IF(AU14=1,"SC+","")&amp;IF(AV14=1,"OI+",""))</f>
        <v/>
      </c>
      <c r="AY14" s="5" t="n">
        <f aca="false">IF(AX14="",0,IF(COUNTIFS($A$1:A13,A14,$AX$1:AX13,AX14)=0,1,0))</f>
        <v>0</v>
      </c>
    </row>
    <row r="15" customFormat="false" ht="15" hidden="false" customHeight="false" outlineLevel="0" collapsed="false">
      <c r="A15" s="3" t="s">
        <v>96</v>
      </c>
      <c r="B15" s="3" t="s">
        <v>125</v>
      </c>
      <c r="C15" s="3" t="n">
        <v>2025</v>
      </c>
      <c r="D15" s="4" t="s">
        <v>126</v>
      </c>
      <c r="E15" s="4" t="s">
        <v>127</v>
      </c>
      <c r="F15" s="3" t="s">
        <v>55</v>
      </c>
      <c r="G15" s="4" t="s">
        <v>56</v>
      </c>
      <c r="H15" s="4" t="s">
        <v>83</v>
      </c>
      <c r="I15" s="3" t="s">
        <v>58</v>
      </c>
      <c r="J15" s="3" t="s">
        <v>84</v>
      </c>
      <c r="K15" s="3" t="s">
        <v>69</v>
      </c>
      <c r="L15" s="4" t="s">
        <v>61</v>
      </c>
      <c r="M15" s="4" t="s">
        <v>71</v>
      </c>
      <c r="N15" s="3" t="n">
        <v>2</v>
      </c>
      <c r="O15" s="4"/>
      <c r="P15" s="5" t="str">
        <f aca="false">";"&amp;LOWER(SUBSTITUTE(SUBSTITUTE(SUBSTITUTE(G15,"; ",";"),", ",";"),",",";"))&amp;";"</f>
        <v>;governanza colaborativa;</v>
      </c>
      <c r="Q15" s="5" t="str">
        <f aca="false">";"&amp;LOWER(SUBSTITUTE(SUBSTITUTE(SUBSTITUTE(H15,"; ",";"),", ",";"),",",";"))&amp;";"</f>
        <v>;análisis;</v>
      </c>
      <c r="R15" s="5" t="str">
        <f aca="false">";"&amp;LOWER(SUBSTITUTE(SUBSTITUTE(SUBSTITUTE(J15,"; ",";"),", ",";"),",",";"))&amp;";"</f>
        <v>;industria;</v>
      </c>
      <c r="S15" s="5" t="str">
        <f aca="false">";"&amp;LOWER(SUBSTITUTE(SUBSTITUTE(SUBSTITUTE(K15,"; ",";"),", ",";"),",",";"))&amp;";"</f>
        <v>;nacional;</v>
      </c>
      <c r="T15" s="5" t="str">
        <f aca="false">";"&amp;LOWER(SUBSTITUTE(SUBSTITUTE(SUBSTITUTE(L15,"; ",";"),", ",";"),",",";"))&amp;";"</f>
        <v>;nlp - tópicos;</v>
      </c>
      <c r="U15" s="5" t="str">
        <f aca="false">";"&amp;LOWER(SUBSTITUTE(SUBSTITUTE(SUBSTITUTE(M15,"; ",";"),", ",";"),",",";"))&amp;";"</f>
        <v>;gobierno nacional;</v>
      </c>
      <c r="V15" s="5" t="n">
        <f aca="false">IF(ISNUMBER(SEARCH(";participación digital;",P15)),1,0)</f>
        <v>0</v>
      </c>
      <c r="W15" s="5" t="n">
        <f aca="false">IF(OR(ISNUMBER(SEARCH(";governanza colaborativa;",P15)),ISNUMBER(SEARCH(";gobernanza colaborativa;",P15))),1,0)</f>
        <v>1</v>
      </c>
      <c r="X15" s="5" t="n">
        <f aca="false">IF(ISNUMBER(SEARCH(";mini públicos;",P15)),1,0)</f>
        <v>0</v>
      </c>
      <c r="Y15" s="5" t="n">
        <f aca="false">IF(ISNUMBER(SEARCH(";referendos e iniciativas populares;",P15)),1,0)</f>
        <v>0</v>
      </c>
      <c r="Z15" s="5" t="n">
        <f aca="false">IF(ISNUMBER(SEARCH(";presupuestos participativos;",P15)),1,0)</f>
        <v>0</v>
      </c>
      <c r="AA15" s="5" t="n">
        <f aca="false">IF(ISNUMBER(SEARCH("planif",Q15)),1,0)</f>
        <v>0</v>
      </c>
      <c r="AB15" s="5" t="n">
        <f aca="false">IF(ISNUMBER(SEARCH("implement",Q15)),1,0)</f>
        <v>0</v>
      </c>
      <c r="AC15" s="5" t="n">
        <f aca="false">IF(ISNUMBER(SEARCH("análisis",Q15)),1,0)</f>
        <v>1</v>
      </c>
      <c r="AD15" s="5" t="n">
        <f aca="false">IF(ISNUMBER(SEARCH("traducción",Q15)),1,0)</f>
        <v>0</v>
      </c>
      <c r="AE15" s="5" t="n">
        <f aca="false">IF(ISNUMBER(SEARCH("público",F15)),1,0)</f>
        <v>1</v>
      </c>
      <c r="AF15" s="5" t="n">
        <f aca="false">IF(ISNUMBER(SEARCH("privado",F15)),1,0)</f>
        <v>0</v>
      </c>
      <c r="AG15" s="5" t="n">
        <f aca="false">IF(ISNUMBER(SEARCH("mixto",F15)),1,0)</f>
        <v>0</v>
      </c>
      <c r="AH15" s="5" t="n">
        <f aca="false">IF(ISNUMBER(SEARCH("único",I15)),1,0)</f>
        <v>1</v>
      </c>
      <c r="AI15" s="5" t="n">
        <f aca="false">IF(ISNUMBER(SEARCH("plataforma",I15)),1,0)</f>
        <v>0</v>
      </c>
      <c r="AJ15" s="5" t="n">
        <f aca="false">IF(ISNUMBER(SEARCH(";industria;",R15)),1,0)</f>
        <v>1</v>
      </c>
      <c r="AK15" s="5" t="n">
        <f aca="false">IF(ISNUMBER(SEARCH(";academia;",R15)),1,0)</f>
        <v>0</v>
      </c>
      <c r="AL15" s="5" t="n">
        <f aca="false">IF(ISNUMBER(SEARCH(";gobierno;",R15)),1,0)</f>
        <v>0</v>
      </c>
      <c r="AM15" s="5" t="n">
        <f aca="false">IF(ISNUMBER(SEARCH(";sociedad civil;",R15)),1,0)</f>
        <v>0</v>
      </c>
      <c r="AN15" s="5" t="n">
        <f aca="false">IF(ISNUMBER(SEARCH(";nacional;",S15)),1,0)</f>
        <v>1</v>
      </c>
      <c r="AO15" s="5" t="n">
        <f aca="false">IF(ISNUMBER(SEARCH(";internacional;",S15)),1,0)</f>
        <v>0</v>
      </c>
      <c r="AP15" s="5" t="n">
        <f aca="false">IF(ISNUMBER(SEARCH(";gobierno local;",U15)),1,0)</f>
        <v>0</v>
      </c>
      <c r="AQ15" s="5" t="n">
        <f aca="false">IF(ISNUMBER(SEARCH(";gobierno nacional;",U15)),1,0)</f>
        <v>1</v>
      </c>
      <c r="AR15" s="5" t="n">
        <f aca="false">IF(ISNUMBER(SEARCH(";otra institución pública;",U15)),1,0)</f>
        <v>0</v>
      </c>
      <c r="AS15" s="5" t="n">
        <f aca="false">IF(ISNUMBER(SEARCH(";empresa;",U15)),1,0)</f>
        <v>0</v>
      </c>
      <c r="AT15" s="5" t="n">
        <f aca="false">IF(ISNUMBER(SEARCH(";universidad;",U15)),1,0)</f>
        <v>0</v>
      </c>
      <c r="AU15" s="5" t="n">
        <f aca="false">IF(ISNUMBER(SEARCH(";sociedad civil;",U15)),1,0)</f>
        <v>0</v>
      </c>
      <c r="AV15" s="5" t="n">
        <f aca="false">IF(ISNUMBER(SEARCH(";organización internacional;",U15)),1,0)</f>
        <v>0</v>
      </c>
      <c r="AW15" s="5" t="n">
        <f aca="false">IF(N15="","",IF(AND(N15=1,('3 · Cálculo 2025 · f. nueva'!$C$25-C15)&gt;'3 · Cálculo 2025 · f. nueva'!$C$26),0,N15))</f>
        <v>2</v>
      </c>
      <c r="AX15" s="5" t="str">
        <f aca="false">IF(SUM(AP15:AV15)&lt;2,"",IF(AP15=1,"GL+","")&amp;IF(AQ15=1,"GN+","")&amp;IF(AR15=1,"OIP+","")&amp;IF(AS15=1,"EMP+","")&amp;IF(AT15=1,"UNI+","")&amp;IF(AU15=1,"SC+","")&amp;IF(AV15=1,"OI+",""))</f>
        <v/>
      </c>
      <c r="AY15" s="5" t="n">
        <f aca="false">IF(AX15="",0,IF(COUNTIFS($A$1:A14,A15,$AX$1:AX14,AX15)=0,1,0))</f>
        <v>0</v>
      </c>
    </row>
    <row r="16" customFormat="false" ht="22.35" hidden="false" customHeight="false" outlineLevel="0" collapsed="false">
      <c r="A16" s="3" t="s">
        <v>128</v>
      </c>
      <c r="B16" s="3" t="s">
        <v>129</v>
      </c>
      <c r="C16" s="3" t="n">
        <v>2019</v>
      </c>
      <c r="D16" s="4" t="s">
        <v>130</v>
      </c>
      <c r="E16" s="4" t="s">
        <v>131</v>
      </c>
      <c r="F16" s="3" t="s">
        <v>105</v>
      </c>
      <c r="G16" s="4" t="s">
        <v>56</v>
      </c>
      <c r="H16" s="4" t="s">
        <v>57</v>
      </c>
      <c r="I16" s="3" t="s">
        <v>58</v>
      </c>
      <c r="J16" s="3" t="s">
        <v>59</v>
      </c>
      <c r="K16" s="3" t="s">
        <v>60</v>
      </c>
      <c r="L16" s="4" t="s">
        <v>132</v>
      </c>
      <c r="M16" s="4" t="s">
        <v>133</v>
      </c>
      <c r="N16" s="3" t="n">
        <v>2</v>
      </c>
      <c r="O16" s="4"/>
      <c r="P16" s="5" t="str">
        <f aca="false">";"&amp;LOWER(SUBSTITUTE(SUBSTITUTE(SUBSTITUTE(G16,"; ",";"),", ",";"),",",";"))&amp;";"</f>
        <v>;governanza colaborativa;</v>
      </c>
      <c r="Q16" s="5" t="str">
        <f aca="false">";"&amp;LOWER(SUBSTITUTE(SUBSTITUTE(SUBSTITUTE(H16,"; ",";"),", ",";"),",",";"))&amp;";"</f>
        <v>;implementación;análisis;</v>
      </c>
      <c r="R16" s="5" t="str">
        <f aca="false">";"&amp;LOWER(SUBSTITUTE(SUBSTITUTE(SUBSTITUTE(J16,"; ",";"),", ",";"),",",";"))&amp;";"</f>
        <v>;gobierno;</v>
      </c>
      <c r="S16" s="5" t="str">
        <f aca="false">";"&amp;LOWER(SUBSTITUTE(SUBSTITUTE(SUBSTITUTE(K16,"; ",";"),", ",";"),",",";"))&amp;";"</f>
        <v>;internacional;</v>
      </c>
      <c r="T16" s="5" t="str">
        <f aca="false">";"&amp;LOWER(SUBSTITUTE(SUBSTITUTE(SUBSTITUTE(L16,"; ",";"),", ",";"),",",";"))&amp;";"</f>
        <v>;voz a texto;nlp;llm;</v>
      </c>
      <c r="U16" s="5" t="str">
        <f aca="false">";"&amp;LOWER(SUBSTITUTE(SUBSTITUTE(SUBSTITUTE(M16,"; ",";"),", ",";"),",",";"))&amp;";"</f>
        <v>;organización internacional;gobierno local;</v>
      </c>
      <c r="V16" s="5" t="n">
        <f aca="false">IF(ISNUMBER(SEARCH(";participación digital;",P16)),1,0)</f>
        <v>0</v>
      </c>
      <c r="W16" s="5" t="n">
        <f aca="false">IF(OR(ISNUMBER(SEARCH(";governanza colaborativa;",P16)),ISNUMBER(SEARCH(";gobernanza colaborativa;",P16))),1,0)</f>
        <v>1</v>
      </c>
      <c r="X16" s="5" t="n">
        <f aca="false">IF(ISNUMBER(SEARCH(";mini públicos;",P16)),1,0)</f>
        <v>0</v>
      </c>
      <c r="Y16" s="5" t="n">
        <f aca="false">IF(ISNUMBER(SEARCH(";referendos e iniciativas populares;",P16)),1,0)</f>
        <v>0</v>
      </c>
      <c r="Z16" s="5" t="n">
        <f aca="false">IF(ISNUMBER(SEARCH(";presupuestos participativos;",P16)),1,0)</f>
        <v>0</v>
      </c>
      <c r="AA16" s="5" t="n">
        <f aca="false">IF(ISNUMBER(SEARCH("planif",Q16)),1,0)</f>
        <v>0</v>
      </c>
      <c r="AB16" s="5" t="n">
        <f aca="false">IF(ISNUMBER(SEARCH("implement",Q16)),1,0)</f>
        <v>1</v>
      </c>
      <c r="AC16" s="5" t="n">
        <f aca="false">IF(ISNUMBER(SEARCH("análisis",Q16)),1,0)</f>
        <v>1</v>
      </c>
      <c r="AD16" s="5" t="n">
        <f aca="false">IF(ISNUMBER(SEARCH("traducción",Q16)),1,0)</f>
        <v>0</v>
      </c>
      <c r="AE16" s="5" t="n">
        <f aca="false">IF(ISNUMBER(SEARCH("público",F16)),1,0)</f>
        <v>0</v>
      </c>
      <c r="AF16" s="5" t="n">
        <f aca="false">IF(ISNUMBER(SEARCH("privado",F16)),1,0)</f>
        <v>0</v>
      </c>
      <c r="AG16" s="5" t="n">
        <f aca="false">IF(ISNUMBER(SEARCH("mixto",F16)),1,0)</f>
        <v>1</v>
      </c>
      <c r="AH16" s="5" t="n">
        <f aca="false">IF(ISNUMBER(SEARCH("único",I16)),1,0)</f>
        <v>1</v>
      </c>
      <c r="AI16" s="5" t="n">
        <f aca="false">IF(ISNUMBER(SEARCH("plataforma",I16)),1,0)</f>
        <v>0</v>
      </c>
      <c r="AJ16" s="5" t="n">
        <f aca="false">IF(ISNUMBER(SEARCH(";industria;",R16)),1,0)</f>
        <v>0</v>
      </c>
      <c r="AK16" s="5" t="n">
        <f aca="false">IF(ISNUMBER(SEARCH(";academia;",R16)),1,0)</f>
        <v>0</v>
      </c>
      <c r="AL16" s="5" t="n">
        <f aca="false">IF(ISNUMBER(SEARCH(";gobierno;",R16)),1,0)</f>
        <v>1</v>
      </c>
      <c r="AM16" s="5" t="n">
        <f aca="false">IF(ISNUMBER(SEARCH(";sociedad civil;",R16)),1,0)</f>
        <v>0</v>
      </c>
      <c r="AN16" s="5" t="n">
        <f aca="false">IF(ISNUMBER(SEARCH(";nacional;",S16)),1,0)</f>
        <v>0</v>
      </c>
      <c r="AO16" s="5" t="n">
        <f aca="false">IF(ISNUMBER(SEARCH(";internacional;",S16)),1,0)</f>
        <v>1</v>
      </c>
      <c r="AP16" s="5" t="n">
        <f aca="false">IF(ISNUMBER(SEARCH(";gobierno local;",U16)),1,0)</f>
        <v>1</v>
      </c>
      <c r="AQ16" s="5" t="n">
        <f aca="false">IF(ISNUMBER(SEARCH(";gobierno nacional;",U16)),1,0)</f>
        <v>0</v>
      </c>
      <c r="AR16" s="5" t="n">
        <f aca="false">IF(ISNUMBER(SEARCH(";otra institución pública;",U16)),1,0)</f>
        <v>0</v>
      </c>
      <c r="AS16" s="5" t="n">
        <f aca="false">IF(ISNUMBER(SEARCH(";empresa;",U16)),1,0)</f>
        <v>0</v>
      </c>
      <c r="AT16" s="5" t="n">
        <f aca="false">IF(ISNUMBER(SEARCH(";universidad;",U16)),1,0)</f>
        <v>0</v>
      </c>
      <c r="AU16" s="5" t="n">
        <f aca="false">IF(ISNUMBER(SEARCH(";sociedad civil;",U16)),1,0)</f>
        <v>0</v>
      </c>
      <c r="AV16" s="5" t="n">
        <f aca="false">IF(ISNUMBER(SEARCH(";organización internacional;",U16)),1,0)</f>
        <v>1</v>
      </c>
      <c r="AW16" s="5" t="n">
        <f aca="false">IF(N16="","",IF(AND(N16=1,('3 · Cálculo 2025 · f. nueva'!$C$25-C16)&gt;'3 · Cálculo 2025 · f. nueva'!$C$26),0,N16))</f>
        <v>2</v>
      </c>
      <c r="AX16" s="5" t="str">
        <f aca="false">IF(SUM(AP16:AV16)&lt;2,"",IF(AP16=1,"GL+","")&amp;IF(AQ16=1,"GN+","")&amp;IF(AR16=1,"OIP+","")&amp;IF(AS16=1,"EMP+","")&amp;IF(AT16=1,"UNI+","")&amp;IF(AU16=1,"SC+","")&amp;IF(AV16=1,"OI+",""))</f>
        <v>GL+OI+</v>
      </c>
      <c r="AY16" s="5" t="n">
        <f aca="false">IF(AX16="",0,IF(COUNTIFS($A$1:A15,A16,$AX$1:AX15,AX16)=0,1,0))</f>
        <v>1</v>
      </c>
    </row>
    <row r="17" customFormat="false" ht="64.15" hidden="false" customHeight="false" outlineLevel="0" collapsed="false">
      <c r="A17" s="3" t="s">
        <v>128</v>
      </c>
      <c r="B17" s="3" t="s">
        <v>134</v>
      </c>
      <c r="C17" s="3" t="n">
        <v>2022</v>
      </c>
      <c r="D17" s="4" t="s">
        <v>135</v>
      </c>
      <c r="E17" s="4" t="s">
        <v>136</v>
      </c>
      <c r="F17" s="3" t="s">
        <v>105</v>
      </c>
      <c r="G17" s="4" t="s">
        <v>56</v>
      </c>
      <c r="H17" s="4" t="s">
        <v>83</v>
      </c>
      <c r="I17" s="3" t="s">
        <v>58</v>
      </c>
      <c r="J17" s="3" t="s">
        <v>137</v>
      </c>
      <c r="K17" s="3" t="s">
        <v>69</v>
      </c>
      <c r="L17" s="4" t="s">
        <v>138</v>
      </c>
      <c r="M17" s="4" t="s">
        <v>139</v>
      </c>
      <c r="N17" s="3" t="n">
        <v>2</v>
      </c>
      <c r="O17" s="4"/>
      <c r="P17" s="5" t="str">
        <f aca="false">";"&amp;LOWER(SUBSTITUTE(SUBSTITUTE(SUBSTITUTE(G17,"; ",";"),", ",";"),",",";"))&amp;";"</f>
        <v>;governanza colaborativa;</v>
      </c>
      <c r="Q17" s="5" t="str">
        <f aca="false">";"&amp;LOWER(SUBSTITUTE(SUBSTITUTE(SUBSTITUTE(H17,"; ",";"),", ",";"),",",";"))&amp;";"</f>
        <v>;análisis;</v>
      </c>
      <c r="R17" s="5" t="str">
        <f aca="false">";"&amp;LOWER(SUBSTITUTE(SUBSTITUTE(SUBSTITUTE(J17,"; ",";"),", ",";"),",",";"))&amp;";"</f>
        <v>;sociedad civil;</v>
      </c>
      <c r="S17" s="5" t="str">
        <f aca="false">";"&amp;LOWER(SUBSTITUTE(SUBSTITUTE(SUBSTITUTE(K17,"; ",";"),", ",";"),",",";"))&amp;";"</f>
        <v>;nacional;</v>
      </c>
      <c r="T17" s="5" t="str">
        <f aca="false">";"&amp;LOWER(SUBSTITUTE(SUBSTITUTE(SUBSTITUTE(L17,"; ",";"),", ",";"),",",";"))&amp;";"</f>
        <v>;nlp - tópicos;nlp - sentiment;</v>
      </c>
      <c r="U17" s="5" t="str">
        <f aca="false">";"&amp;LOWER(SUBSTITUTE(SUBSTITUTE(SUBSTITUTE(M17,"; ",";"),", ",";"),",",";"))&amp;";"</f>
        <v>;universidad;empresa;sociedad civil;</v>
      </c>
      <c r="V17" s="5" t="n">
        <f aca="false">IF(ISNUMBER(SEARCH(";participación digital;",P17)),1,0)</f>
        <v>0</v>
      </c>
      <c r="W17" s="5" t="n">
        <f aca="false">IF(OR(ISNUMBER(SEARCH(";governanza colaborativa;",P17)),ISNUMBER(SEARCH(";gobernanza colaborativa;",P17))),1,0)</f>
        <v>1</v>
      </c>
      <c r="X17" s="5" t="n">
        <f aca="false">IF(ISNUMBER(SEARCH(";mini públicos;",P17)),1,0)</f>
        <v>0</v>
      </c>
      <c r="Y17" s="5" t="n">
        <f aca="false">IF(ISNUMBER(SEARCH(";referendos e iniciativas populares;",P17)),1,0)</f>
        <v>0</v>
      </c>
      <c r="Z17" s="5" t="n">
        <f aca="false">IF(ISNUMBER(SEARCH(";presupuestos participativos;",P17)),1,0)</f>
        <v>0</v>
      </c>
      <c r="AA17" s="5" t="n">
        <f aca="false">IF(ISNUMBER(SEARCH("planif",Q17)),1,0)</f>
        <v>0</v>
      </c>
      <c r="AB17" s="5" t="n">
        <f aca="false">IF(ISNUMBER(SEARCH("implement",Q17)),1,0)</f>
        <v>0</v>
      </c>
      <c r="AC17" s="5" t="n">
        <f aca="false">IF(ISNUMBER(SEARCH("análisis",Q17)),1,0)</f>
        <v>1</v>
      </c>
      <c r="AD17" s="5" t="n">
        <f aca="false">IF(ISNUMBER(SEARCH("traducción",Q17)),1,0)</f>
        <v>0</v>
      </c>
      <c r="AE17" s="5" t="n">
        <f aca="false">IF(ISNUMBER(SEARCH("público",F17)),1,0)</f>
        <v>0</v>
      </c>
      <c r="AF17" s="5" t="n">
        <f aca="false">IF(ISNUMBER(SEARCH("privado",F17)),1,0)</f>
        <v>0</v>
      </c>
      <c r="AG17" s="5" t="n">
        <f aca="false">IF(ISNUMBER(SEARCH("mixto",F17)),1,0)</f>
        <v>1</v>
      </c>
      <c r="AH17" s="5" t="n">
        <f aca="false">IF(ISNUMBER(SEARCH("único",I17)),1,0)</f>
        <v>1</v>
      </c>
      <c r="AI17" s="5" t="n">
        <f aca="false">IF(ISNUMBER(SEARCH("plataforma",I17)),1,0)</f>
        <v>0</v>
      </c>
      <c r="AJ17" s="5" t="n">
        <f aca="false">IF(ISNUMBER(SEARCH(";industria;",R17)),1,0)</f>
        <v>0</v>
      </c>
      <c r="AK17" s="5" t="n">
        <f aca="false">IF(ISNUMBER(SEARCH(";academia;",R17)),1,0)</f>
        <v>0</v>
      </c>
      <c r="AL17" s="5" t="n">
        <f aca="false">IF(ISNUMBER(SEARCH(";gobierno;",R17)),1,0)</f>
        <v>0</v>
      </c>
      <c r="AM17" s="5" t="n">
        <f aca="false">IF(ISNUMBER(SEARCH(";sociedad civil;",R17)),1,0)</f>
        <v>1</v>
      </c>
      <c r="AN17" s="5" t="n">
        <f aca="false">IF(ISNUMBER(SEARCH(";nacional;",S17)),1,0)</f>
        <v>1</v>
      </c>
      <c r="AO17" s="5" t="n">
        <f aca="false">IF(ISNUMBER(SEARCH(";internacional;",S17)),1,0)</f>
        <v>0</v>
      </c>
      <c r="AP17" s="5" t="n">
        <f aca="false">IF(ISNUMBER(SEARCH(";gobierno local;",U17)),1,0)</f>
        <v>0</v>
      </c>
      <c r="AQ17" s="5" t="n">
        <f aca="false">IF(ISNUMBER(SEARCH(";gobierno nacional;",U17)),1,0)</f>
        <v>0</v>
      </c>
      <c r="AR17" s="5" t="n">
        <f aca="false">IF(ISNUMBER(SEARCH(";otra institución pública;",U17)),1,0)</f>
        <v>0</v>
      </c>
      <c r="AS17" s="5" t="n">
        <f aca="false">IF(ISNUMBER(SEARCH(";empresa;",U17)),1,0)</f>
        <v>1</v>
      </c>
      <c r="AT17" s="5" t="n">
        <f aca="false">IF(ISNUMBER(SEARCH(";universidad;",U17)),1,0)</f>
        <v>1</v>
      </c>
      <c r="AU17" s="5" t="n">
        <f aca="false">IF(ISNUMBER(SEARCH(";sociedad civil;",U17)),1,0)</f>
        <v>1</v>
      </c>
      <c r="AV17" s="5" t="n">
        <f aca="false">IF(ISNUMBER(SEARCH(";organización internacional;",U17)),1,0)</f>
        <v>0</v>
      </c>
      <c r="AW17" s="5" t="n">
        <f aca="false">IF(N17="","",IF(AND(N17=1,('3 · Cálculo 2025 · f. nueva'!$C$25-C17)&gt;'3 · Cálculo 2025 · f. nueva'!$C$26),0,N17))</f>
        <v>2</v>
      </c>
      <c r="AX17" s="5" t="str">
        <f aca="false">IF(SUM(AP17:AV17)&lt;2,"",IF(AP17=1,"GL+","")&amp;IF(AQ17=1,"GN+","")&amp;IF(AR17=1,"OIP+","")&amp;IF(AS17=1,"EMP+","")&amp;IF(AT17=1,"UNI+","")&amp;IF(AU17=1,"SC+","")&amp;IF(AV17=1,"OI+",""))</f>
        <v>EMP+UNI+SC+</v>
      </c>
      <c r="AY17" s="5" t="n">
        <f aca="false">IF(AX17="",0,IF(COUNTIFS($A$1:A16,A17,$AX$1:AX16,AX17)=0,1,0))</f>
        <v>1</v>
      </c>
    </row>
    <row r="18" customFormat="false" ht="32.8" hidden="false" customHeight="false" outlineLevel="0" collapsed="false">
      <c r="A18" s="3" t="s">
        <v>128</v>
      </c>
      <c r="B18" s="3" t="s">
        <v>140</v>
      </c>
      <c r="C18" s="3" t="n">
        <v>2024</v>
      </c>
      <c r="D18" s="4" t="s">
        <v>141</v>
      </c>
      <c r="E18" s="4" t="s">
        <v>142</v>
      </c>
      <c r="F18" s="3" t="s">
        <v>55</v>
      </c>
      <c r="G18" s="4" t="s">
        <v>143</v>
      </c>
      <c r="H18" s="4" t="s">
        <v>144</v>
      </c>
      <c r="I18" s="3" t="s">
        <v>68</v>
      </c>
      <c r="J18" s="3" t="s">
        <v>145</v>
      </c>
      <c r="K18" s="3" t="s">
        <v>69</v>
      </c>
      <c r="L18" s="4" t="s">
        <v>146</v>
      </c>
      <c r="M18" s="4" t="s">
        <v>79</v>
      </c>
      <c r="N18" s="3" t="n">
        <v>2</v>
      </c>
      <c r="O18" s="4"/>
      <c r="P18" s="5" t="str">
        <f aca="false">";"&amp;LOWER(SUBSTITUTE(SUBSTITUTE(SUBSTITUTE(G18,"; ",";"),", ",";"),",",";"))&amp;";"</f>
        <v>;referendos e iniciativas populares;presupuestos participativos;</v>
      </c>
      <c r="Q18" s="5" t="str">
        <f aca="false">";"&amp;LOWER(SUBSTITUTE(SUBSTITUTE(SUBSTITUTE(H18,"; ",";"),", ",";"),",",";"))&amp;";"</f>
        <v>;implementación;</v>
      </c>
      <c r="R18" s="5" t="str">
        <f aca="false">";"&amp;LOWER(SUBSTITUTE(SUBSTITUTE(SUBSTITUTE(J18,"; ",";"),", ",";"),",",";"))&amp;";"</f>
        <v>;industria;gobierno;</v>
      </c>
      <c r="S18" s="5" t="str">
        <f aca="false">";"&amp;LOWER(SUBSTITUTE(SUBSTITUTE(SUBSTITUTE(K18,"; ",";"),", ",";"),",",";"))&amp;";"</f>
        <v>;nacional;</v>
      </c>
      <c r="T18" s="5" t="str">
        <f aca="false">";"&amp;LOWER(SUBSTITUTE(SUBSTITUTE(SUBSTITUTE(L18,"; ",";"),", ",";"),",",";"))&amp;";"</f>
        <v>;nlp;llm;</v>
      </c>
      <c r="U18" s="5" t="str">
        <f aca="false">";"&amp;LOWER(SUBSTITUTE(SUBSTITUTE(SUBSTITUTE(M18,"; ",";"),", ",";"),",",";"))&amp;";"</f>
        <v>;gobierno local;</v>
      </c>
      <c r="V18" s="5" t="n">
        <f aca="false">IF(ISNUMBER(SEARCH(";participación digital;",P18)),1,0)</f>
        <v>0</v>
      </c>
      <c r="W18" s="5" t="n">
        <f aca="false">IF(OR(ISNUMBER(SEARCH(";governanza colaborativa;",P18)),ISNUMBER(SEARCH(";gobernanza colaborativa;",P18))),1,0)</f>
        <v>0</v>
      </c>
      <c r="X18" s="5" t="n">
        <f aca="false">IF(ISNUMBER(SEARCH(";mini públicos;",P18)),1,0)</f>
        <v>0</v>
      </c>
      <c r="Y18" s="5" t="n">
        <f aca="false">IF(ISNUMBER(SEARCH(";referendos e iniciativas populares;",P18)),1,0)</f>
        <v>1</v>
      </c>
      <c r="Z18" s="5" t="n">
        <f aca="false">IF(ISNUMBER(SEARCH(";presupuestos participativos;",P18)),1,0)</f>
        <v>1</v>
      </c>
      <c r="AA18" s="5" t="n">
        <f aca="false">IF(ISNUMBER(SEARCH("planif",Q18)),1,0)</f>
        <v>0</v>
      </c>
      <c r="AB18" s="5" t="n">
        <f aca="false">IF(ISNUMBER(SEARCH("implement",Q18)),1,0)</f>
        <v>1</v>
      </c>
      <c r="AC18" s="5" t="n">
        <f aca="false">IF(ISNUMBER(SEARCH("análisis",Q18)),1,0)</f>
        <v>0</v>
      </c>
      <c r="AD18" s="5" t="n">
        <f aca="false">IF(ISNUMBER(SEARCH("traducción",Q18)),1,0)</f>
        <v>0</v>
      </c>
      <c r="AE18" s="5" t="n">
        <f aca="false">IF(ISNUMBER(SEARCH("público",F18)),1,0)</f>
        <v>1</v>
      </c>
      <c r="AF18" s="5" t="n">
        <f aca="false">IF(ISNUMBER(SEARCH("privado",F18)),1,0)</f>
        <v>0</v>
      </c>
      <c r="AG18" s="5" t="n">
        <f aca="false">IF(ISNUMBER(SEARCH("mixto",F18)),1,0)</f>
        <v>0</v>
      </c>
      <c r="AH18" s="5" t="n">
        <f aca="false">IF(ISNUMBER(SEARCH("único",I18)),1,0)</f>
        <v>0</v>
      </c>
      <c r="AI18" s="5" t="n">
        <f aca="false">IF(ISNUMBER(SEARCH("plataforma",I18)),1,0)</f>
        <v>1</v>
      </c>
      <c r="AJ18" s="5" t="n">
        <f aca="false">IF(ISNUMBER(SEARCH(";industria;",R18)),1,0)</f>
        <v>1</v>
      </c>
      <c r="AK18" s="5" t="n">
        <f aca="false">IF(ISNUMBER(SEARCH(";academia;",R18)),1,0)</f>
        <v>0</v>
      </c>
      <c r="AL18" s="5" t="n">
        <f aca="false">IF(ISNUMBER(SEARCH(";gobierno;",R18)),1,0)</f>
        <v>1</v>
      </c>
      <c r="AM18" s="5" t="n">
        <f aca="false">IF(ISNUMBER(SEARCH(";sociedad civil;",R18)),1,0)</f>
        <v>0</v>
      </c>
      <c r="AN18" s="5" t="n">
        <f aca="false">IF(ISNUMBER(SEARCH(";nacional;",S18)),1,0)</f>
        <v>1</v>
      </c>
      <c r="AO18" s="5" t="n">
        <f aca="false">IF(ISNUMBER(SEARCH(";internacional;",S18)),1,0)</f>
        <v>0</v>
      </c>
      <c r="AP18" s="5" t="n">
        <f aca="false">IF(ISNUMBER(SEARCH(";gobierno local;",U18)),1,0)</f>
        <v>1</v>
      </c>
      <c r="AQ18" s="5" t="n">
        <f aca="false">IF(ISNUMBER(SEARCH(";gobierno nacional;",U18)),1,0)</f>
        <v>0</v>
      </c>
      <c r="AR18" s="5" t="n">
        <f aca="false">IF(ISNUMBER(SEARCH(";otra institución pública;",U18)),1,0)</f>
        <v>0</v>
      </c>
      <c r="AS18" s="5" t="n">
        <f aca="false">IF(ISNUMBER(SEARCH(";empresa;",U18)),1,0)</f>
        <v>0</v>
      </c>
      <c r="AT18" s="5" t="n">
        <f aca="false">IF(ISNUMBER(SEARCH(";universidad;",U18)),1,0)</f>
        <v>0</v>
      </c>
      <c r="AU18" s="5" t="n">
        <f aca="false">IF(ISNUMBER(SEARCH(";sociedad civil;",U18)),1,0)</f>
        <v>0</v>
      </c>
      <c r="AV18" s="5" t="n">
        <f aca="false">IF(ISNUMBER(SEARCH(";organización internacional;",U18)),1,0)</f>
        <v>0</v>
      </c>
      <c r="AW18" s="5" t="n">
        <f aca="false">IF(N18="","",IF(AND(N18=1,('3 · Cálculo 2025 · f. nueva'!$C$25-C18)&gt;'3 · Cálculo 2025 · f. nueva'!$C$26),0,N18))</f>
        <v>2</v>
      </c>
      <c r="AX18" s="5" t="str">
        <f aca="false">IF(SUM(AP18:AV18)&lt;2,"",IF(AP18=1,"GL+","")&amp;IF(AQ18=1,"GN+","")&amp;IF(AR18=1,"OIP+","")&amp;IF(AS18=1,"EMP+","")&amp;IF(AT18=1,"UNI+","")&amp;IF(AU18=1,"SC+","")&amp;IF(AV18=1,"OI+",""))</f>
        <v/>
      </c>
      <c r="AY18" s="5" t="n">
        <f aca="false">IF(AX18="",0,IF(COUNTIFS($A$1:A17,A18,$AX$1:AX17,AX18)=0,1,0))</f>
        <v>0</v>
      </c>
    </row>
    <row r="19" customFormat="false" ht="105.95" hidden="false" customHeight="false" outlineLevel="0" collapsed="false">
      <c r="A19" s="3" t="s">
        <v>128</v>
      </c>
      <c r="B19" s="3" t="s">
        <v>147</v>
      </c>
      <c r="C19" s="3" t="n">
        <v>2020</v>
      </c>
      <c r="D19" s="4" t="s">
        <v>148</v>
      </c>
      <c r="E19" s="4" t="s">
        <v>149</v>
      </c>
      <c r="F19" s="3" t="s">
        <v>55</v>
      </c>
      <c r="G19" s="4" t="s">
        <v>56</v>
      </c>
      <c r="H19" s="4" t="s">
        <v>83</v>
      </c>
      <c r="I19" s="3" t="s">
        <v>68</v>
      </c>
      <c r="J19" s="3" t="s">
        <v>84</v>
      </c>
      <c r="K19" s="3" t="s">
        <v>60</v>
      </c>
      <c r="L19" s="4" t="s">
        <v>106</v>
      </c>
      <c r="M19" s="4" t="s">
        <v>71</v>
      </c>
      <c r="N19" s="3" t="n">
        <v>2</v>
      </c>
      <c r="O19" s="4" t="s">
        <v>150</v>
      </c>
      <c r="P19" s="5" t="str">
        <f aca="false">";"&amp;LOWER(SUBSTITUTE(SUBSTITUTE(SUBSTITUTE(G19,"; ",";"),", ",";"),",",";"))&amp;";"</f>
        <v>;governanza colaborativa;</v>
      </c>
      <c r="Q19" s="5" t="str">
        <f aca="false">";"&amp;LOWER(SUBSTITUTE(SUBSTITUTE(SUBSTITUTE(H19,"; ",";"),", ",";"),",",";"))&amp;";"</f>
        <v>;análisis;</v>
      </c>
      <c r="R19" s="5" t="str">
        <f aca="false">";"&amp;LOWER(SUBSTITUTE(SUBSTITUTE(SUBSTITUTE(J19,"; ",";"),", ",";"),",",";"))&amp;";"</f>
        <v>;industria;</v>
      </c>
      <c r="S19" s="5" t="str">
        <f aca="false">";"&amp;LOWER(SUBSTITUTE(SUBSTITUTE(SUBSTITUTE(K19,"; ",";"),", ",";"),",",";"))&amp;";"</f>
        <v>;internacional;</v>
      </c>
      <c r="T19" s="5" t="str">
        <f aca="false">";"&amp;LOWER(SUBSTITUTE(SUBSTITUTE(SUBSTITUTE(L19,"; ",";"),", ",";"),",",";"))&amp;";"</f>
        <v>;nlp;</v>
      </c>
      <c r="U19" s="5" t="str">
        <f aca="false">";"&amp;LOWER(SUBSTITUTE(SUBSTITUTE(SUBSTITUTE(M19,"; ",";"),", ",";"),",",";"))&amp;";"</f>
        <v>;gobierno nacional;</v>
      </c>
      <c r="V19" s="5" t="n">
        <f aca="false">IF(ISNUMBER(SEARCH(";participación digital;",P19)),1,0)</f>
        <v>0</v>
      </c>
      <c r="W19" s="5" t="n">
        <f aca="false">IF(OR(ISNUMBER(SEARCH(";governanza colaborativa;",P19)),ISNUMBER(SEARCH(";gobernanza colaborativa;",P19))),1,0)</f>
        <v>1</v>
      </c>
      <c r="X19" s="5" t="n">
        <f aca="false">IF(ISNUMBER(SEARCH(";mini públicos;",P19)),1,0)</f>
        <v>0</v>
      </c>
      <c r="Y19" s="5" t="n">
        <f aca="false">IF(ISNUMBER(SEARCH(";referendos e iniciativas populares;",P19)),1,0)</f>
        <v>0</v>
      </c>
      <c r="Z19" s="5" t="n">
        <f aca="false">IF(ISNUMBER(SEARCH(";presupuestos participativos;",P19)),1,0)</f>
        <v>0</v>
      </c>
      <c r="AA19" s="5" t="n">
        <f aca="false">IF(ISNUMBER(SEARCH("planif",Q19)),1,0)</f>
        <v>0</v>
      </c>
      <c r="AB19" s="5" t="n">
        <f aca="false">IF(ISNUMBER(SEARCH("implement",Q19)),1,0)</f>
        <v>0</v>
      </c>
      <c r="AC19" s="5" t="n">
        <f aca="false">IF(ISNUMBER(SEARCH("análisis",Q19)),1,0)</f>
        <v>1</v>
      </c>
      <c r="AD19" s="5" t="n">
        <f aca="false">IF(ISNUMBER(SEARCH("traducción",Q19)),1,0)</f>
        <v>0</v>
      </c>
      <c r="AE19" s="5" t="n">
        <f aca="false">IF(ISNUMBER(SEARCH("público",F19)),1,0)</f>
        <v>1</v>
      </c>
      <c r="AF19" s="5" t="n">
        <f aca="false">IF(ISNUMBER(SEARCH("privado",F19)),1,0)</f>
        <v>0</v>
      </c>
      <c r="AG19" s="5" t="n">
        <f aca="false">IF(ISNUMBER(SEARCH("mixto",F19)),1,0)</f>
        <v>0</v>
      </c>
      <c r="AH19" s="5" t="n">
        <f aca="false">IF(ISNUMBER(SEARCH("único",I19)),1,0)</f>
        <v>0</v>
      </c>
      <c r="AI19" s="5" t="n">
        <f aca="false">IF(ISNUMBER(SEARCH("plataforma",I19)),1,0)</f>
        <v>1</v>
      </c>
      <c r="AJ19" s="5" t="n">
        <f aca="false">IF(ISNUMBER(SEARCH(";industria;",R19)),1,0)</f>
        <v>1</v>
      </c>
      <c r="AK19" s="5" t="n">
        <f aca="false">IF(ISNUMBER(SEARCH(";academia;",R19)),1,0)</f>
        <v>0</v>
      </c>
      <c r="AL19" s="5" t="n">
        <f aca="false">IF(ISNUMBER(SEARCH(";gobierno;",R19)),1,0)</f>
        <v>0</v>
      </c>
      <c r="AM19" s="5" t="n">
        <f aca="false">IF(ISNUMBER(SEARCH(";sociedad civil;",R19)),1,0)</f>
        <v>0</v>
      </c>
      <c r="AN19" s="5" t="n">
        <f aca="false">IF(ISNUMBER(SEARCH(";nacional;",S19)),1,0)</f>
        <v>0</v>
      </c>
      <c r="AO19" s="5" t="n">
        <f aca="false">IF(ISNUMBER(SEARCH(";internacional;",S19)),1,0)</f>
        <v>1</v>
      </c>
      <c r="AP19" s="5" t="n">
        <f aca="false">IF(ISNUMBER(SEARCH(";gobierno local;",U19)),1,0)</f>
        <v>0</v>
      </c>
      <c r="AQ19" s="5" t="n">
        <f aca="false">IF(ISNUMBER(SEARCH(";gobierno nacional;",U19)),1,0)</f>
        <v>1</v>
      </c>
      <c r="AR19" s="5" t="n">
        <f aca="false">IF(ISNUMBER(SEARCH(";otra institución pública;",U19)),1,0)</f>
        <v>0</v>
      </c>
      <c r="AS19" s="5" t="n">
        <f aca="false">IF(ISNUMBER(SEARCH(";empresa;",U19)),1,0)</f>
        <v>0</v>
      </c>
      <c r="AT19" s="5" t="n">
        <f aca="false">IF(ISNUMBER(SEARCH(";universidad;",U19)),1,0)</f>
        <v>0</v>
      </c>
      <c r="AU19" s="5" t="n">
        <f aca="false">IF(ISNUMBER(SEARCH(";sociedad civil;",U19)),1,0)</f>
        <v>0</v>
      </c>
      <c r="AV19" s="5" t="n">
        <f aca="false">IF(ISNUMBER(SEARCH(";organización internacional;",U19)),1,0)</f>
        <v>0</v>
      </c>
      <c r="AW19" s="5" t="n">
        <f aca="false">IF(N19="","",IF(AND(N19=1,('3 · Cálculo 2025 · f. nueva'!$C$25-C19)&gt;'3 · Cálculo 2025 · f. nueva'!$C$26),0,N19))</f>
        <v>2</v>
      </c>
      <c r="AX19" s="5" t="str">
        <f aca="false">IF(SUM(AP19:AV19)&lt;2,"",IF(AP19=1,"GL+","")&amp;IF(AQ19=1,"GN+","")&amp;IF(AR19=1,"OIP+","")&amp;IF(AS19=1,"EMP+","")&amp;IF(AT19=1,"UNI+","")&amp;IF(AU19=1,"SC+","")&amp;IF(AV19=1,"OI+",""))</f>
        <v/>
      </c>
      <c r="AY19" s="5" t="n">
        <f aca="false">IF(AX19="",0,IF(COUNTIFS($A$1:A18,A19,$AX$1:AX18,AX19)=0,1,0))</f>
        <v>0</v>
      </c>
    </row>
    <row r="20" customFormat="false" ht="43.25" hidden="false" customHeight="false" outlineLevel="0" collapsed="false">
      <c r="A20" s="3" t="s">
        <v>151</v>
      </c>
      <c r="B20" s="3" t="s">
        <v>152</v>
      </c>
      <c r="C20" s="3" t="n">
        <v>2024</v>
      </c>
      <c r="D20" s="4" t="s">
        <v>153</v>
      </c>
      <c r="E20" s="4" t="s">
        <v>154</v>
      </c>
      <c r="F20" s="3" t="s">
        <v>55</v>
      </c>
      <c r="G20" s="4" t="s">
        <v>155</v>
      </c>
      <c r="H20" s="4" t="s">
        <v>67</v>
      </c>
      <c r="I20" s="3" t="s">
        <v>68</v>
      </c>
      <c r="J20" s="3" t="s">
        <v>92</v>
      </c>
      <c r="K20" s="3" t="s">
        <v>69</v>
      </c>
      <c r="L20" s="4" t="s">
        <v>156</v>
      </c>
      <c r="M20" s="4" t="s">
        <v>100</v>
      </c>
      <c r="N20" s="3" t="n">
        <v>2</v>
      </c>
      <c r="O20" s="4" t="s">
        <v>157</v>
      </c>
      <c r="P20" s="5" t="str">
        <f aca="false">";"&amp;LOWER(SUBSTITUTE(SUBSTITUTE(SUBSTITUTE(G20,"; ",";"),", ",";"),",",";"))&amp;";"</f>
        <v>;participación digital;</v>
      </c>
      <c r="Q20" s="5" t="str">
        <f aca="false">";"&amp;LOWER(SUBSTITUTE(SUBSTITUTE(SUBSTITUTE(H20,"; ",";"),", ",";"),",",";"))&amp;";"</f>
        <v>;traducción política;</v>
      </c>
      <c r="R20" s="5" t="str">
        <f aca="false">";"&amp;LOWER(SUBSTITUTE(SUBSTITUTE(SUBSTITUTE(J20,"; ",";"),", ",";"),",",";"))&amp;";"</f>
        <v>;academia;</v>
      </c>
      <c r="S20" s="5" t="str">
        <f aca="false">";"&amp;LOWER(SUBSTITUTE(SUBSTITUTE(SUBSTITUTE(K20,"; ",";"),", ",";"),",",";"))&amp;";"</f>
        <v>;nacional;</v>
      </c>
      <c r="T20" s="5" t="str">
        <f aca="false">";"&amp;LOWER(SUBSTITUTE(SUBSTITUTE(SUBSTITUTE(L20,"; ",";"),", ",";"),",",";"))&amp;";"</f>
        <v>;visión computacional;</v>
      </c>
      <c r="U20" s="5" t="str">
        <f aca="false">";"&amp;LOWER(SUBSTITUTE(SUBSTITUTE(SUBSTITUTE(M20,"; ",";"),", ",";"),",",";"))&amp;";"</f>
        <v>;otra institución pública;</v>
      </c>
      <c r="V20" s="5" t="n">
        <f aca="false">IF(ISNUMBER(SEARCH(";participación digital;",P20)),1,0)</f>
        <v>1</v>
      </c>
      <c r="W20" s="5" t="n">
        <f aca="false">IF(OR(ISNUMBER(SEARCH(";governanza colaborativa;",P20)),ISNUMBER(SEARCH(";gobernanza colaborativa;",P20))),1,0)</f>
        <v>0</v>
      </c>
      <c r="X20" s="5" t="n">
        <f aca="false">IF(ISNUMBER(SEARCH(";mini públicos;",P20)),1,0)</f>
        <v>0</v>
      </c>
      <c r="Y20" s="5" t="n">
        <f aca="false">IF(ISNUMBER(SEARCH(";referendos e iniciativas populares;",P20)),1,0)</f>
        <v>0</v>
      </c>
      <c r="Z20" s="5" t="n">
        <f aca="false">IF(ISNUMBER(SEARCH(";presupuestos participativos;",P20)),1,0)</f>
        <v>0</v>
      </c>
      <c r="AA20" s="5" t="n">
        <f aca="false">IF(ISNUMBER(SEARCH("planif",Q20)),1,0)</f>
        <v>0</v>
      </c>
      <c r="AB20" s="5" t="n">
        <f aca="false">IF(ISNUMBER(SEARCH("implement",Q20)),1,0)</f>
        <v>0</v>
      </c>
      <c r="AC20" s="5" t="n">
        <f aca="false">IF(ISNUMBER(SEARCH("análisis",Q20)),1,0)</f>
        <v>0</v>
      </c>
      <c r="AD20" s="5" t="n">
        <f aca="false">IF(ISNUMBER(SEARCH("traducción",Q20)),1,0)</f>
        <v>1</v>
      </c>
      <c r="AE20" s="5" t="n">
        <f aca="false">IF(ISNUMBER(SEARCH("público",F20)),1,0)</f>
        <v>1</v>
      </c>
      <c r="AF20" s="5" t="n">
        <f aca="false">IF(ISNUMBER(SEARCH("privado",F20)),1,0)</f>
        <v>0</v>
      </c>
      <c r="AG20" s="5" t="n">
        <f aca="false">IF(ISNUMBER(SEARCH("mixto",F20)),1,0)</f>
        <v>0</v>
      </c>
      <c r="AH20" s="5" t="n">
        <f aca="false">IF(ISNUMBER(SEARCH("único",I20)),1,0)</f>
        <v>0</v>
      </c>
      <c r="AI20" s="5" t="n">
        <f aca="false">IF(ISNUMBER(SEARCH("plataforma",I20)),1,0)</f>
        <v>1</v>
      </c>
      <c r="AJ20" s="5" t="n">
        <f aca="false">IF(ISNUMBER(SEARCH(";industria;",R20)),1,0)</f>
        <v>0</v>
      </c>
      <c r="AK20" s="5" t="n">
        <f aca="false">IF(ISNUMBER(SEARCH(";academia;",R20)),1,0)</f>
        <v>1</v>
      </c>
      <c r="AL20" s="5" t="n">
        <f aca="false">IF(ISNUMBER(SEARCH(";gobierno;",R20)),1,0)</f>
        <v>0</v>
      </c>
      <c r="AM20" s="5" t="n">
        <f aca="false">IF(ISNUMBER(SEARCH(";sociedad civil;",R20)),1,0)</f>
        <v>0</v>
      </c>
      <c r="AN20" s="5" t="n">
        <f aca="false">IF(ISNUMBER(SEARCH(";nacional;",S20)),1,0)</f>
        <v>1</v>
      </c>
      <c r="AO20" s="5" t="n">
        <f aca="false">IF(ISNUMBER(SEARCH(";internacional;",S20)),1,0)</f>
        <v>0</v>
      </c>
      <c r="AP20" s="5" t="n">
        <f aca="false">IF(ISNUMBER(SEARCH(";gobierno local;",U20)),1,0)</f>
        <v>0</v>
      </c>
      <c r="AQ20" s="5" t="n">
        <f aca="false">IF(ISNUMBER(SEARCH(";gobierno nacional;",U20)),1,0)</f>
        <v>0</v>
      </c>
      <c r="AR20" s="5" t="n">
        <f aca="false">IF(ISNUMBER(SEARCH(";otra institución pública;",U20)),1,0)</f>
        <v>1</v>
      </c>
      <c r="AS20" s="5" t="n">
        <f aca="false">IF(ISNUMBER(SEARCH(";empresa;",U20)),1,0)</f>
        <v>0</v>
      </c>
      <c r="AT20" s="5" t="n">
        <f aca="false">IF(ISNUMBER(SEARCH(";universidad;",U20)),1,0)</f>
        <v>0</v>
      </c>
      <c r="AU20" s="5" t="n">
        <f aca="false">IF(ISNUMBER(SEARCH(";sociedad civil;",U20)),1,0)</f>
        <v>0</v>
      </c>
      <c r="AV20" s="5" t="n">
        <f aca="false">IF(ISNUMBER(SEARCH(";organización internacional;",U20)),1,0)</f>
        <v>0</v>
      </c>
      <c r="AW20" s="5" t="n">
        <f aca="false">IF(N20="","",IF(AND(N20=1,('3 · Cálculo 2025 · f. nueva'!$C$25-C20)&gt;'3 · Cálculo 2025 · f. nueva'!$C$26),0,N20))</f>
        <v>2</v>
      </c>
      <c r="AX20" s="5" t="str">
        <f aca="false">IF(SUM(AP20:AV20)&lt;2,"",IF(AP20=1,"GL+","")&amp;IF(AQ20=1,"GN+","")&amp;IF(AR20=1,"OIP+","")&amp;IF(AS20=1,"EMP+","")&amp;IF(AT20=1,"UNI+","")&amp;IF(AU20=1,"SC+","")&amp;IF(AV20=1,"OI+",""))</f>
        <v/>
      </c>
      <c r="AY20" s="5" t="n">
        <f aca="false">IF(AX20="",0,IF(COUNTIFS($A$1:A19,A20,$AX$1:AX19,AX20)=0,1,0))</f>
        <v>0</v>
      </c>
    </row>
    <row r="21" customFormat="false" ht="43.25" hidden="false" customHeight="false" outlineLevel="0" collapsed="false">
      <c r="A21" s="3" t="s">
        <v>151</v>
      </c>
      <c r="B21" s="3" t="s">
        <v>158</v>
      </c>
      <c r="C21" s="3"/>
      <c r="D21" s="4" t="s">
        <v>159</v>
      </c>
      <c r="E21" s="4" t="s">
        <v>160</v>
      </c>
      <c r="F21" s="3" t="s">
        <v>55</v>
      </c>
      <c r="G21" s="4" t="s">
        <v>155</v>
      </c>
      <c r="H21" s="4" t="s">
        <v>83</v>
      </c>
      <c r="I21" s="3" t="s">
        <v>68</v>
      </c>
      <c r="J21" s="3" t="s">
        <v>161</v>
      </c>
      <c r="K21" s="3" t="s">
        <v>60</v>
      </c>
      <c r="L21" s="4" t="s">
        <v>106</v>
      </c>
      <c r="M21" s="4" t="s">
        <v>162</v>
      </c>
      <c r="N21" s="3" t="n">
        <v>2</v>
      </c>
      <c r="O21" s="4"/>
      <c r="P21" s="5" t="str">
        <f aca="false">";"&amp;LOWER(SUBSTITUTE(SUBSTITUTE(SUBSTITUTE(G21,"; ",";"),", ",";"),",",";"))&amp;";"</f>
        <v>;participación digital;</v>
      </c>
      <c r="Q21" s="5" t="str">
        <f aca="false">";"&amp;LOWER(SUBSTITUTE(SUBSTITUTE(SUBSTITUTE(H21,"; ",";"),", ",";"),",",";"))&amp;";"</f>
        <v>;análisis;</v>
      </c>
      <c r="R21" s="5" t="str">
        <f aca="false">";"&amp;LOWER(SUBSTITUTE(SUBSTITUTE(SUBSTITUTE(J21,"; ",";"),", ",";"),",",";"))&amp;";"</f>
        <v>;sociedad civil;industria;</v>
      </c>
      <c r="S21" s="5" t="str">
        <f aca="false">";"&amp;LOWER(SUBSTITUTE(SUBSTITUTE(SUBSTITUTE(K21,"; ",";"),", ",";"),",",";"))&amp;";"</f>
        <v>;internacional;</v>
      </c>
      <c r="T21" s="5" t="str">
        <f aca="false">";"&amp;LOWER(SUBSTITUTE(SUBSTITUTE(SUBSTITUTE(L21,"; ",";"),", ",";"),",",";"))&amp;";"</f>
        <v>;nlp;</v>
      </c>
      <c r="U21" s="5" t="str">
        <f aca="false">";"&amp;LOWER(SUBSTITUTE(SUBSTITUTE(SUBSTITUTE(M21,"; ",";"),", ",";"),",",";"))&amp;";"</f>
        <v>;organización internacional;</v>
      </c>
      <c r="V21" s="5" t="n">
        <f aca="false">IF(ISNUMBER(SEARCH(";participación digital;",P21)),1,0)</f>
        <v>1</v>
      </c>
      <c r="W21" s="5" t="n">
        <f aca="false">IF(OR(ISNUMBER(SEARCH(";governanza colaborativa;",P21)),ISNUMBER(SEARCH(";gobernanza colaborativa;",P21))),1,0)</f>
        <v>0</v>
      </c>
      <c r="X21" s="5" t="n">
        <f aca="false">IF(ISNUMBER(SEARCH(";mini públicos;",P21)),1,0)</f>
        <v>0</v>
      </c>
      <c r="Y21" s="5" t="n">
        <f aca="false">IF(ISNUMBER(SEARCH(";referendos e iniciativas populares;",P21)),1,0)</f>
        <v>0</v>
      </c>
      <c r="Z21" s="5" t="n">
        <f aca="false">IF(ISNUMBER(SEARCH(";presupuestos participativos;",P21)),1,0)</f>
        <v>0</v>
      </c>
      <c r="AA21" s="5" t="n">
        <f aca="false">IF(ISNUMBER(SEARCH("planif",Q21)),1,0)</f>
        <v>0</v>
      </c>
      <c r="AB21" s="5" t="n">
        <f aca="false">IF(ISNUMBER(SEARCH("implement",Q21)),1,0)</f>
        <v>0</v>
      </c>
      <c r="AC21" s="5" t="n">
        <f aca="false">IF(ISNUMBER(SEARCH("análisis",Q21)),1,0)</f>
        <v>1</v>
      </c>
      <c r="AD21" s="5" t="n">
        <f aca="false">IF(ISNUMBER(SEARCH("traducción",Q21)),1,0)</f>
        <v>0</v>
      </c>
      <c r="AE21" s="5" t="n">
        <f aca="false">IF(ISNUMBER(SEARCH("público",F21)),1,0)</f>
        <v>1</v>
      </c>
      <c r="AF21" s="5" t="n">
        <f aca="false">IF(ISNUMBER(SEARCH("privado",F21)),1,0)</f>
        <v>0</v>
      </c>
      <c r="AG21" s="5" t="n">
        <f aca="false">IF(ISNUMBER(SEARCH("mixto",F21)),1,0)</f>
        <v>0</v>
      </c>
      <c r="AH21" s="5" t="n">
        <f aca="false">IF(ISNUMBER(SEARCH("único",I21)),1,0)</f>
        <v>0</v>
      </c>
      <c r="AI21" s="5" t="n">
        <f aca="false">IF(ISNUMBER(SEARCH("plataforma",I21)),1,0)</f>
        <v>1</v>
      </c>
      <c r="AJ21" s="5" t="n">
        <f aca="false">IF(ISNUMBER(SEARCH(";industria;",R21)),1,0)</f>
        <v>1</v>
      </c>
      <c r="AK21" s="5" t="n">
        <f aca="false">IF(ISNUMBER(SEARCH(";academia;",R21)),1,0)</f>
        <v>0</v>
      </c>
      <c r="AL21" s="5" t="n">
        <f aca="false">IF(ISNUMBER(SEARCH(";gobierno;",R21)),1,0)</f>
        <v>0</v>
      </c>
      <c r="AM21" s="5" t="n">
        <f aca="false">IF(ISNUMBER(SEARCH(";sociedad civil;",R21)),1,0)</f>
        <v>1</v>
      </c>
      <c r="AN21" s="5" t="n">
        <f aca="false">IF(ISNUMBER(SEARCH(";nacional;",S21)),1,0)</f>
        <v>0</v>
      </c>
      <c r="AO21" s="5" t="n">
        <f aca="false">IF(ISNUMBER(SEARCH(";internacional;",S21)),1,0)</f>
        <v>1</v>
      </c>
      <c r="AP21" s="5" t="n">
        <f aca="false">IF(ISNUMBER(SEARCH(";gobierno local;",U21)),1,0)</f>
        <v>0</v>
      </c>
      <c r="AQ21" s="5" t="n">
        <f aca="false">IF(ISNUMBER(SEARCH(";gobierno nacional;",U21)),1,0)</f>
        <v>0</v>
      </c>
      <c r="AR21" s="5" t="n">
        <f aca="false">IF(ISNUMBER(SEARCH(";otra institución pública;",U21)),1,0)</f>
        <v>0</v>
      </c>
      <c r="AS21" s="5" t="n">
        <f aca="false">IF(ISNUMBER(SEARCH(";empresa;",U21)),1,0)</f>
        <v>0</v>
      </c>
      <c r="AT21" s="5" t="n">
        <f aca="false">IF(ISNUMBER(SEARCH(";universidad;",U21)),1,0)</f>
        <v>0</v>
      </c>
      <c r="AU21" s="5" t="n">
        <f aca="false">IF(ISNUMBER(SEARCH(";sociedad civil;",U21)),1,0)</f>
        <v>0</v>
      </c>
      <c r="AV21" s="5" t="n">
        <f aca="false">IF(ISNUMBER(SEARCH(";organización internacional;",U21)),1,0)</f>
        <v>1</v>
      </c>
      <c r="AW21" s="5" t="n">
        <f aca="false">IF(N21="","",IF(AND(N21=1,('3 · Cálculo 2025 · f. nueva'!$C$25-C21)&gt;'3 · Cálculo 2025 · f. nueva'!$C$26),0,N21))</f>
        <v>2</v>
      </c>
      <c r="AX21" s="5" t="str">
        <f aca="false">IF(SUM(AP21:AV21)&lt;2,"",IF(AP21=1,"GL+","")&amp;IF(AQ21=1,"GN+","")&amp;IF(AR21=1,"OIP+","")&amp;IF(AS21=1,"EMP+","")&amp;IF(AT21=1,"UNI+","")&amp;IF(AU21=1,"SC+","")&amp;IF(AV21=1,"OI+",""))</f>
        <v/>
      </c>
      <c r="AY21" s="5" t="n">
        <f aca="false">IF(AX21="",0,IF(COUNTIFS($A$1:A20,A21,$AX$1:AX20,AX21)=0,1,0))</f>
        <v>0</v>
      </c>
    </row>
    <row r="22" customFormat="false" ht="74.6" hidden="false" customHeight="false" outlineLevel="0" collapsed="false">
      <c r="A22" s="3" t="s">
        <v>163</v>
      </c>
      <c r="B22" s="3" t="s">
        <v>164</v>
      </c>
      <c r="C22" s="3" t="n">
        <v>2023</v>
      </c>
      <c r="D22" s="4" t="s">
        <v>165</v>
      </c>
      <c r="E22" s="4" t="s">
        <v>166</v>
      </c>
      <c r="F22" s="3" t="s">
        <v>105</v>
      </c>
      <c r="G22" s="4" t="s">
        <v>56</v>
      </c>
      <c r="H22" s="4" t="s">
        <v>144</v>
      </c>
      <c r="I22" s="3" t="s">
        <v>68</v>
      </c>
      <c r="J22" s="3" t="s">
        <v>84</v>
      </c>
      <c r="K22" s="3" t="s">
        <v>69</v>
      </c>
      <c r="L22" s="4" t="s">
        <v>167</v>
      </c>
      <c r="M22" s="4" t="s">
        <v>168</v>
      </c>
      <c r="N22" s="3" t="n">
        <v>2</v>
      </c>
      <c r="O22" s="4" t="s">
        <v>169</v>
      </c>
      <c r="P22" s="5" t="str">
        <f aca="false">";"&amp;LOWER(SUBSTITUTE(SUBSTITUTE(SUBSTITUTE(G22,"; ",";"),", ",";"),",",";"))&amp;";"</f>
        <v>;governanza colaborativa;</v>
      </c>
      <c r="Q22" s="5" t="str">
        <f aca="false">";"&amp;LOWER(SUBSTITUTE(SUBSTITUTE(SUBSTITUTE(H22,"; ",";"),", ",";"),",",";"))&amp;";"</f>
        <v>;implementación;</v>
      </c>
      <c r="R22" s="5" t="str">
        <f aca="false">";"&amp;LOWER(SUBSTITUTE(SUBSTITUTE(SUBSTITUTE(J22,"; ",";"),", ",";"),",",";"))&amp;";"</f>
        <v>;industria;</v>
      </c>
      <c r="S22" s="5" t="str">
        <f aca="false">";"&amp;LOWER(SUBSTITUTE(SUBSTITUTE(SUBSTITUTE(K22,"; ",";"),", ",";"),",",";"))&amp;";"</f>
        <v>;nacional;</v>
      </c>
      <c r="T22" s="5" t="str">
        <f aca="false">";"&amp;LOWER(SUBSTITUTE(SUBSTITUTE(SUBSTITUTE(L22,"; ",";"),", ",";"),",",";"))&amp;";"</f>
        <v>;sistemas de recomendación;llm;</v>
      </c>
      <c r="U22" s="5" t="str">
        <f aca="false">";"&amp;LOWER(SUBSTITUTE(SUBSTITUTE(SUBSTITUTE(M22,"; ",";"),", ",";"),",",";"))&amp;";"</f>
        <v>;empresa;universidad;gobierno nacional;</v>
      </c>
      <c r="V22" s="5" t="n">
        <f aca="false">IF(ISNUMBER(SEARCH(";participación digital;",P22)),1,0)</f>
        <v>0</v>
      </c>
      <c r="W22" s="5" t="n">
        <f aca="false">IF(OR(ISNUMBER(SEARCH(";governanza colaborativa;",P22)),ISNUMBER(SEARCH(";gobernanza colaborativa;",P22))),1,0)</f>
        <v>1</v>
      </c>
      <c r="X22" s="5" t="n">
        <f aca="false">IF(ISNUMBER(SEARCH(";mini públicos;",P22)),1,0)</f>
        <v>0</v>
      </c>
      <c r="Y22" s="5" t="n">
        <f aca="false">IF(ISNUMBER(SEARCH(";referendos e iniciativas populares;",P22)),1,0)</f>
        <v>0</v>
      </c>
      <c r="Z22" s="5" t="n">
        <f aca="false">IF(ISNUMBER(SEARCH(";presupuestos participativos;",P22)),1,0)</f>
        <v>0</v>
      </c>
      <c r="AA22" s="5" t="n">
        <f aca="false">IF(ISNUMBER(SEARCH("planif",Q22)),1,0)</f>
        <v>0</v>
      </c>
      <c r="AB22" s="5" t="n">
        <f aca="false">IF(ISNUMBER(SEARCH("implement",Q22)),1,0)</f>
        <v>1</v>
      </c>
      <c r="AC22" s="5" t="n">
        <f aca="false">IF(ISNUMBER(SEARCH("análisis",Q22)),1,0)</f>
        <v>0</v>
      </c>
      <c r="AD22" s="5" t="n">
        <f aca="false">IF(ISNUMBER(SEARCH("traducción",Q22)),1,0)</f>
        <v>0</v>
      </c>
      <c r="AE22" s="5" t="n">
        <f aca="false">IF(ISNUMBER(SEARCH("público",F22)),1,0)</f>
        <v>0</v>
      </c>
      <c r="AF22" s="5" t="n">
        <f aca="false">IF(ISNUMBER(SEARCH("privado",F22)),1,0)</f>
        <v>0</v>
      </c>
      <c r="AG22" s="5" t="n">
        <f aca="false">IF(ISNUMBER(SEARCH("mixto",F22)),1,0)</f>
        <v>1</v>
      </c>
      <c r="AH22" s="5" t="n">
        <f aca="false">IF(ISNUMBER(SEARCH("único",I22)),1,0)</f>
        <v>0</v>
      </c>
      <c r="AI22" s="5" t="n">
        <f aca="false">IF(ISNUMBER(SEARCH("plataforma",I22)),1,0)</f>
        <v>1</v>
      </c>
      <c r="AJ22" s="5" t="n">
        <f aca="false">IF(ISNUMBER(SEARCH(";industria;",R22)),1,0)</f>
        <v>1</v>
      </c>
      <c r="AK22" s="5" t="n">
        <f aca="false">IF(ISNUMBER(SEARCH(";academia;",R22)),1,0)</f>
        <v>0</v>
      </c>
      <c r="AL22" s="5" t="n">
        <f aca="false">IF(ISNUMBER(SEARCH(";gobierno;",R22)),1,0)</f>
        <v>0</v>
      </c>
      <c r="AM22" s="5" t="n">
        <f aca="false">IF(ISNUMBER(SEARCH(";sociedad civil;",R22)),1,0)</f>
        <v>0</v>
      </c>
      <c r="AN22" s="5" t="n">
        <f aca="false">IF(ISNUMBER(SEARCH(";nacional;",S22)),1,0)</f>
        <v>1</v>
      </c>
      <c r="AO22" s="5" t="n">
        <f aca="false">IF(ISNUMBER(SEARCH(";internacional;",S22)),1,0)</f>
        <v>0</v>
      </c>
      <c r="AP22" s="5" t="n">
        <f aca="false">IF(ISNUMBER(SEARCH(";gobierno local;",U22)),1,0)</f>
        <v>0</v>
      </c>
      <c r="AQ22" s="5" t="n">
        <f aca="false">IF(ISNUMBER(SEARCH(";gobierno nacional;",U22)),1,0)</f>
        <v>1</v>
      </c>
      <c r="AR22" s="5" t="n">
        <f aca="false">IF(ISNUMBER(SEARCH(";otra institución pública;",U22)),1,0)</f>
        <v>0</v>
      </c>
      <c r="AS22" s="5" t="n">
        <f aca="false">IF(ISNUMBER(SEARCH(";empresa;",U22)),1,0)</f>
        <v>1</v>
      </c>
      <c r="AT22" s="5" t="n">
        <f aca="false">IF(ISNUMBER(SEARCH(";universidad;",U22)),1,0)</f>
        <v>1</v>
      </c>
      <c r="AU22" s="5" t="n">
        <f aca="false">IF(ISNUMBER(SEARCH(";sociedad civil;",U22)),1,0)</f>
        <v>0</v>
      </c>
      <c r="AV22" s="5" t="n">
        <f aca="false">IF(ISNUMBER(SEARCH(";organización internacional;",U22)),1,0)</f>
        <v>0</v>
      </c>
      <c r="AW22" s="5" t="n">
        <f aca="false">IF(N22="","",IF(AND(N22=1,('3 · Cálculo 2025 · f. nueva'!$C$25-C22)&gt;'3 · Cálculo 2025 · f. nueva'!$C$26),0,N22))</f>
        <v>2</v>
      </c>
      <c r="AX22" s="5" t="str">
        <f aca="false">IF(SUM(AP22:AV22)&lt;2,"",IF(AP22=1,"GL+","")&amp;IF(AQ22=1,"GN+","")&amp;IF(AR22=1,"OIP+","")&amp;IF(AS22=1,"EMP+","")&amp;IF(AT22=1,"UNI+","")&amp;IF(AU22=1,"SC+","")&amp;IF(AV22=1,"OI+",""))</f>
        <v>GN+EMP+UNI+</v>
      </c>
      <c r="AY22" s="5" t="n">
        <f aca="false">IF(AX22="",0,IF(COUNTIFS($A$1:A21,A22,$AX$1:AX21,AX22)=0,1,0))</f>
        <v>1</v>
      </c>
    </row>
    <row r="23" customFormat="false" ht="43.25" hidden="false" customHeight="false" outlineLevel="0" collapsed="false">
      <c r="A23" s="3" t="s">
        <v>170</v>
      </c>
      <c r="B23" s="3" t="s">
        <v>171</v>
      </c>
      <c r="C23" s="3" t="n">
        <v>2023</v>
      </c>
      <c r="D23" s="4" t="s">
        <v>172</v>
      </c>
      <c r="E23" s="4" t="s">
        <v>173</v>
      </c>
      <c r="F23" s="3" t="s">
        <v>105</v>
      </c>
      <c r="G23" s="4" t="s">
        <v>174</v>
      </c>
      <c r="H23" s="4" t="s">
        <v>144</v>
      </c>
      <c r="I23" s="3" t="s">
        <v>68</v>
      </c>
      <c r="J23" s="3" t="s">
        <v>137</v>
      </c>
      <c r="K23" s="3" t="s">
        <v>69</v>
      </c>
      <c r="L23" s="4" t="s">
        <v>175</v>
      </c>
      <c r="M23" s="4" t="s">
        <v>176</v>
      </c>
      <c r="N23" s="3" t="n">
        <v>2</v>
      </c>
      <c r="O23" s="4"/>
      <c r="P23" s="5" t="str">
        <f aca="false">";"&amp;LOWER(SUBSTITUTE(SUBSTITUTE(SUBSTITUTE(G23,"; ",";"),", ",";"),",",";"))&amp;";"</f>
        <v>;referendos e iniciativas populares;</v>
      </c>
      <c r="Q23" s="5" t="str">
        <f aca="false">";"&amp;LOWER(SUBSTITUTE(SUBSTITUTE(SUBSTITUTE(H23,"; ",";"),", ",";"),",",";"))&amp;";"</f>
        <v>;implementación;</v>
      </c>
      <c r="R23" s="5" t="str">
        <f aca="false">";"&amp;LOWER(SUBSTITUTE(SUBSTITUTE(SUBSTITUTE(J23,"; ",";"),", ",";"),",",";"))&amp;";"</f>
        <v>;sociedad civil;</v>
      </c>
      <c r="S23" s="5" t="str">
        <f aca="false">";"&amp;LOWER(SUBSTITUTE(SUBSTITUTE(SUBSTITUTE(K23,"; ",";"),", ",";"),",",";"))&amp;";"</f>
        <v>;nacional;</v>
      </c>
      <c r="T23" s="5" t="str">
        <f aca="false">";"&amp;LOWER(SUBSTITUTE(SUBSTITUTE(SUBSTITUTE(L23,"; ",";"),", ",";"),",",";"))&amp;";"</f>
        <v>;llm;</v>
      </c>
      <c r="U23" s="5" t="str">
        <f aca="false">";"&amp;LOWER(SUBSTITUTE(SUBSTITUTE(SUBSTITUTE(M23,"; ",";"),", ",";"),",",";"))&amp;";"</f>
        <v>;gobierno nacional;sociedad civil;</v>
      </c>
      <c r="V23" s="5" t="n">
        <f aca="false">IF(ISNUMBER(SEARCH(";participación digital;",P23)),1,0)</f>
        <v>0</v>
      </c>
      <c r="W23" s="5" t="n">
        <f aca="false">IF(OR(ISNUMBER(SEARCH(";governanza colaborativa;",P23)),ISNUMBER(SEARCH(";gobernanza colaborativa;",P23))),1,0)</f>
        <v>0</v>
      </c>
      <c r="X23" s="5" t="n">
        <f aca="false">IF(ISNUMBER(SEARCH(";mini públicos;",P23)),1,0)</f>
        <v>0</v>
      </c>
      <c r="Y23" s="5" t="n">
        <f aca="false">IF(ISNUMBER(SEARCH(";referendos e iniciativas populares;",P23)),1,0)</f>
        <v>1</v>
      </c>
      <c r="Z23" s="5" t="n">
        <f aca="false">IF(ISNUMBER(SEARCH(";presupuestos participativos;",P23)),1,0)</f>
        <v>0</v>
      </c>
      <c r="AA23" s="5" t="n">
        <f aca="false">IF(ISNUMBER(SEARCH("planif",Q23)),1,0)</f>
        <v>0</v>
      </c>
      <c r="AB23" s="5" t="n">
        <f aca="false">IF(ISNUMBER(SEARCH("implement",Q23)),1,0)</f>
        <v>1</v>
      </c>
      <c r="AC23" s="5" t="n">
        <f aca="false">IF(ISNUMBER(SEARCH("análisis",Q23)),1,0)</f>
        <v>0</v>
      </c>
      <c r="AD23" s="5" t="n">
        <f aca="false">IF(ISNUMBER(SEARCH("traducción",Q23)),1,0)</f>
        <v>0</v>
      </c>
      <c r="AE23" s="5" t="n">
        <f aca="false">IF(ISNUMBER(SEARCH("público",F23)),1,0)</f>
        <v>0</v>
      </c>
      <c r="AF23" s="5" t="n">
        <f aca="false">IF(ISNUMBER(SEARCH("privado",F23)),1,0)</f>
        <v>0</v>
      </c>
      <c r="AG23" s="5" t="n">
        <f aca="false">IF(ISNUMBER(SEARCH("mixto",F23)),1,0)</f>
        <v>1</v>
      </c>
      <c r="AH23" s="5" t="n">
        <f aca="false">IF(ISNUMBER(SEARCH("único",I23)),1,0)</f>
        <v>0</v>
      </c>
      <c r="AI23" s="5" t="n">
        <f aca="false">IF(ISNUMBER(SEARCH("plataforma",I23)),1,0)</f>
        <v>1</v>
      </c>
      <c r="AJ23" s="5" t="n">
        <f aca="false">IF(ISNUMBER(SEARCH(";industria;",R23)),1,0)</f>
        <v>0</v>
      </c>
      <c r="AK23" s="5" t="n">
        <f aca="false">IF(ISNUMBER(SEARCH(";academia;",R23)),1,0)</f>
        <v>0</v>
      </c>
      <c r="AL23" s="5" t="n">
        <f aca="false">IF(ISNUMBER(SEARCH(";gobierno;",R23)),1,0)</f>
        <v>0</v>
      </c>
      <c r="AM23" s="5" t="n">
        <f aca="false">IF(ISNUMBER(SEARCH(";sociedad civil;",R23)),1,0)</f>
        <v>1</v>
      </c>
      <c r="AN23" s="5" t="n">
        <f aca="false">IF(ISNUMBER(SEARCH(";nacional;",S23)),1,0)</f>
        <v>1</v>
      </c>
      <c r="AO23" s="5" t="n">
        <f aca="false">IF(ISNUMBER(SEARCH(";internacional;",S23)),1,0)</f>
        <v>0</v>
      </c>
      <c r="AP23" s="5" t="n">
        <f aca="false">IF(ISNUMBER(SEARCH(";gobierno local;",U23)),1,0)</f>
        <v>0</v>
      </c>
      <c r="AQ23" s="5" t="n">
        <f aca="false">IF(ISNUMBER(SEARCH(";gobierno nacional;",U23)),1,0)</f>
        <v>1</v>
      </c>
      <c r="AR23" s="5" t="n">
        <f aca="false">IF(ISNUMBER(SEARCH(";otra institución pública;",U23)),1,0)</f>
        <v>0</v>
      </c>
      <c r="AS23" s="5" t="n">
        <f aca="false">IF(ISNUMBER(SEARCH(";empresa;",U23)),1,0)</f>
        <v>0</v>
      </c>
      <c r="AT23" s="5" t="n">
        <f aca="false">IF(ISNUMBER(SEARCH(";universidad;",U23)),1,0)</f>
        <v>0</v>
      </c>
      <c r="AU23" s="5" t="n">
        <f aca="false">IF(ISNUMBER(SEARCH(";sociedad civil;",U23)),1,0)</f>
        <v>1</v>
      </c>
      <c r="AV23" s="5" t="n">
        <f aca="false">IF(ISNUMBER(SEARCH(";organización internacional;",U23)),1,0)</f>
        <v>0</v>
      </c>
      <c r="AW23" s="5" t="n">
        <f aca="false">IF(N23="","",IF(AND(N23=1,('3 · Cálculo 2025 · f. nueva'!$C$25-C23)&gt;'3 · Cálculo 2025 · f. nueva'!$C$26),0,N23))</f>
        <v>2</v>
      </c>
      <c r="AX23" s="5" t="str">
        <f aca="false">IF(SUM(AP23:AV23)&lt;2,"",IF(AP23=1,"GL+","")&amp;IF(AQ23=1,"GN+","")&amp;IF(AR23=1,"OIP+","")&amp;IF(AS23=1,"EMP+","")&amp;IF(AT23=1,"UNI+","")&amp;IF(AU23=1,"SC+","")&amp;IF(AV23=1,"OI+",""))</f>
        <v>GN+SC+</v>
      </c>
      <c r="AY23" s="5" t="n">
        <f aca="false">IF(AX23="",0,IF(COUNTIFS($A$1:A22,A23,$AX$1:AX22,AX23)=0,1,0))</f>
        <v>1</v>
      </c>
    </row>
    <row r="24" customFormat="false" ht="43.25" hidden="false" customHeight="false" outlineLevel="0" collapsed="false">
      <c r="A24" s="3" t="s">
        <v>177</v>
      </c>
      <c r="B24" s="3" t="s">
        <v>178</v>
      </c>
      <c r="C24" s="3" t="n">
        <v>2024</v>
      </c>
      <c r="D24" s="4" t="s">
        <v>179</v>
      </c>
      <c r="E24" s="4" t="s">
        <v>180</v>
      </c>
      <c r="F24" s="3" t="s">
        <v>105</v>
      </c>
      <c r="G24" s="4" t="s">
        <v>56</v>
      </c>
      <c r="H24" s="4" t="s">
        <v>144</v>
      </c>
      <c r="I24" s="3" t="s">
        <v>58</v>
      </c>
      <c r="J24" s="3" t="s">
        <v>59</v>
      </c>
      <c r="K24" s="3" t="s">
        <v>60</v>
      </c>
      <c r="L24" s="4" t="s">
        <v>181</v>
      </c>
      <c r="M24" s="4" t="s">
        <v>182</v>
      </c>
      <c r="N24" s="3" t="n">
        <v>2</v>
      </c>
      <c r="O24" s="4"/>
      <c r="P24" s="5" t="str">
        <f aca="false">";"&amp;LOWER(SUBSTITUTE(SUBSTITUTE(SUBSTITUTE(G24,"; ",";"),", ",";"),",",";"))&amp;";"</f>
        <v>;governanza colaborativa;</v>
      </c>
      <c r="Q24" s="5" t="str">
        <f aca="false">";"&amp;LOWER(SUBSTITUTE(SUBSTITUTE(SUBSTITUTE(H24,"; ",";"),", ",";"),",",";"))&amp;";"</f>
        <v>;implementación;</v>
      </c>
      <c r="R24" s="5" t="str">
        <f aca="false">";"&amp;LOWER(SUBSTITUTE(SUBSTITUTE(SUBSTITUTE(J24,"; ",";"),", ",";"),",",";"))&amp;";"</f>
        <v>;gobierno;</v>
      </c>
      <c r="S24" s="5" t="str">
        <f aca="false">";"&amp;LOWER(SUBSTITUTE(SUBSTITUTE(SUBSTITUTE(K24,"; ",";"),", ",";"),",",";"))&amp;";"</f>
        <v>;internacional;</v>
      </c>
      <c r="T24" s="5" t="str">
        <f aca="false">";"&amp;LOWER(SUBSTITUTE(SUBSTITUTE(SUBSTITUTE(L24,"; ",";"),", ",";"),",",";"))&amp;";"</f>
        <v>;nlp - sentiment;nlp - tópicos;</v>
      </c>
      <c r="U24" s="5" t="str">
        <f aca="false">";"&amp;LOWER(SUBSTITUTE(SUBSTITUTE(SUBSTITUTE(M24,"; ",";"),", ",";"),",",";"))&amp;";"</f>
        <v>;organización internacional;sociedad civil;</v>
      </c>
      <c r="V24" s="5" t="n">
        <f aca="false">IF(ISNUMBER(SEARCH(";participación digital;",P24)),1,0)</f>
        <v>0</v>
      </c>
      <c r="W24" s="5" t="n">
        <f aca="false">IF(OR(ISNUMBER(SEARCH(";governanza colaborativa;",P24)),ISNUMBER(SEARCH(";gobernanza colaborativa;",P24))),1,0)</f>
        <v>1</v>
      </c>
      <c r="X24" s="5" t="n">
        <f aca="false">IF(ISNUMBER(SEARCH(";mini públicos;",P24)),1,0)</f>
        <v>0</v>
      </c>
      <c r="Y24" s="5" t="n">
        <f aca="false">IF(ISNUMBER(SEARCH(";referendos e iniciativas populares;",P24)),1,0)</f>
        <v>0</v>
      </c>
      <c r="Z24" s="5" t="n">
        <f aca="false">IF(ISNUMBER(SEARCH(";presupuestos participativos;",P24)),1,0)</f>
        <v>0</v>
      </c>
      <c r="AA24" s="5" t="n">
        <f aca="false">IF(ISNUMBER(SEARCH("planif",Q24)),1,0)</f>
        <v>0</v>
      </c>
      <c r="AB24" s="5" t="n">
        <f aca="false">IF(ISNUMBER(SEARCH("implement",Q24)),1,0)</f>
        <v>1</v>
      </c>
      <c r="AC24" s="5" t="n">
        <f aca="false">IF(ISNUMBER(SEARCH("análisis",Q24)),1,0)</f>
        <v>0</v>
      </c>
      <c r="AD24" s="5" t="n">
        <f aca="false">IF(ISNUMBER(SEARCH("traducción",Q24)),1,0)</f>
        <v>0</v>
      </c>
      <c r="AE24" s="5" t="n">
        <f aca="false">IF(ISNUMBER(SEARCH("público",F24)),1,0)</f>
        <v>0</v>
      </c>
      <c r="AF24" s="5" t="n">
        <f aca="false">IF(ISNUMBER(SEARCH("privado",F24)),1,0)</f>
        <v>0</v>
      </c>
      <c r="AG24" s="5" t="n">
        <f aca="false">IF(ISNUMBER(SEARCH("mixto",F24)),1,0)</f>
        <v>1</v>
      </c>
      <c r="AH24" s="5" t="n">
        <f aca="false">IF(ISNUMBER(SEARCH("único",I24)),1,0)</f>
        <v>1</v>
      </c>
      <c r="AI24" s="5" t="n">
        <f aca="false">IF(ISNUMBER(SEARCH("plataforma",I24)),1,0)</f>
        <v>0</v>
      </c>
      <c r="AJ24" s="5" t="n">
        <f aca="false">IF(ISNUMBER(SEARCH(";industria;",R24)),1,0)</f>
        <v>0</v>
      </c>
      <c r="AK24" s="5" t="n">
        <f aca="false">IF(ISNUMBER(SEARCH(";academia;",R24)),1,0)</f>
        <v>0</v>
      </c>
      <c r="AL24" s="5" t="n">
        <f aca="false">IF(ISNUMBER(SEARCH(";gobierno;",R24)),1,0)</f>
        <v>1</v>
      </c>
      <c r="AM24" s="5" t="n">
        <f aca="false">IF(ISNUMBER(SEARCH(";sociedad civil;",R24)),1,0)</f>
        <v>0</v>
      </c>
      <c r="AN24" s="5" t="n">
        <f aca="false">IF(ISNUMBER(SEARCH(";nacional;",S24)),1,0)</f>
        <v>0</v>
      </c>
      <c r="AO24" s="5" t="n">
        <f aca="false">IF(ISNUMBER(SEARCH(";internacional;",S24)),1,0)</f>
        <v>1</v>
      </c>
      <c r="AP24" s="5" t="n">
        <f aca="false">IF(ISNUMBER(SEARCH(";gobierno local;",U24)),1,0)</f>
        <v>0</v>
      </c>
      <c r="AQ24" s="5" t="n">
        <f aca="false">IF(ISNUMBER(SEARCH(";gobierno nacional;",U24)),1,0)</f>
        <v>0</v>
      </c>
      <c r="AR24" s="5" t="n">
        <f aca="false">IF(ISNUMBER(SEARCH(";otra institución pública;",U24)),1,0)</f>
        <v>0</v>
      </c>
      <c r="AS24" s="5" t="n">
        <f aca="false">IF(ISNUMBER(SEARCH(";empresa;",U24)),1,0)</f>
        <v>0</v>
      </c>
      <c r="AT24" s="5" t="n">
        <f aca="false">IF(ISNUMBER(SEARCH(";universidad;",U24)),1,0)</f>
        <v>0</v>
      </c>
      <c r="AU24" s="5" t="n">
        <f aca="false">IF(ISNUMBER(SEARCH(";sociedad civil;",U24)),1,0)</f>
        <v>1</v>
      </c>
      <c r="AV24" s="5" t="n">
        <f aca="false">IF(ISNUMBER(SEARCH(";organización internacional;",U24)),1,0)</f>
        <v>1</v>
      </c>
      <c r="AW24" s="5" t="n">
        <f aca="false">IF(N24="","",IF(AND(N24=1,('3 · Cálculo 2025 · f. nueva'!$C$25-C24)&gt;'3 · Cálculo 2025 · f. nueva'!$C$26),0,N24))</f>
        <v>2</v>
      </c>
      <c r="AX24" s="5" t="str">
        <f aca="false">IF(SUM(AP24:AV24)&lt;2,"",IF(AP24=1,"GL+","")&amp;IF(AQ24=1,"GN+","")&amp;IF(AR24=1,"OIP+","")&amp;IF(AS24=1,"EMP+","")&amp;IF(AT24=1,"UNI+","")&amp;IF(AU24=1,"SC+","")&amp;IF(AV24=1,"OI+",""))</f>
        <v>SC+OI+</v>
      </c>
      <c r="AY24" s="5" t="n">
        <f aca="false">IF(AX24="",0,IF(COUNTIFS($A$1:A23,A24,$AX$1:AX23,AX24)=0,1,0))</f>
        <v>1</v>
      </c>
    </row>
    <row r="25" customFormat="false" ht="43.25" hidden="false" customHeight="false" outlineLevel="0" collapsed="false">
      <c r="A25" s="3" t="s">
        <v>183</v>
      </c>
      <c r="B25" s="3" t="s">
        <v>184</v>
      </c>
      <c r="C25" s="3" t="n">
        <v>2023</v>
      </c>
      <c r="D25" s="4" t="s">
        <v>185</v>
      </c>
      <c r="E25" s="4" t="s">
        <v>186</v>
      </c>
      <c r="F25" s="3" t="s">
        <v>55</v>
      </c>
      <c r="G25" s="4" t="s">
        <v>174</v>
      </c>
      <c r="H25" s="4" t="s">
        <v>83</v>
      </c>
      <c r="I25" s="3" t="s">
        <v>58</v>
      </c>
      <c r="J25" s="3" t="s">
        <v>187</v>
      </c>
      <c r="K25" s="3" t="s">
        <v>188</v>
      </c>
      <c r="L25" s="4" t="s">
        <v>61</v>
      </c>
      <c r="M25" s="4" t="s">
        <v>189</v>
      </c>
      <c r="N25" s="3" t="n">
        <v>2</v>
      </c>
      <c r="O25" s="4"/>
      <c r="P25" s="5" t="str">
        <f aca="false">";"&amp;LOWER(SUBSTITUTE(SUBSTITUTE(SUBSTITUTE(G25,"; ",";"),", ",";"),",",";"))&amp;";"</f>
        <v>;referendos e iniciativas populares;</v>
      </c>
      <c r="Q25" s="5" t="str">
        <f aca="false">";"&amp;LOWER(SUBSTITUTE(SUBSTITUTE(SUBSTITUTE(H25,"; ",";"),", ",";"),",",";"))&amp;";"</f>
        <v>;análisis;</v>
      </c>
      <c r="R25" s="5" t="str">
        <f aca="false">";"&amp;LOWER(SUBSTITUTE(SUBSTITUTE(SUBSTITUTE(J25,"; ",";"),", ",";"),",",";"))&amp;";"</f>
        <v>;gobierno;academia;</v>
      </c>
      <c r="S25" s="5" t="str">
        <f aca="false">";"&amp;LOWER(SUBSTITUTE(SUBSTITUTE(SUBSTITUTE(K25,"; ",";"),", ",";"),",",";"))&amp;";"</f>
        <v>;internacional;nacional;</v>
      </c>
      <c r="T25" s="5" t="str">
        <f aca="false">";"&amp;LOWER(SUBSTITUTE(SUBSTITUTE(SUBSTITUTE(L25,"; ",";"),", ",";"),",",";"))&amp;";"</f>
        <v>;nlp - tópicos;</v>
      </c>
      <c r="U25" s="5" t="str">
        <f aca="false">";"&amp;LOWER(SUBSTITUTE(SUBSTITUTE(SUBSTITUTE(M25,"; ",";"),", ",";"),",",";"))&amp;";"</f>
        <v>;organización internacional;universidad;</v>
      </c>
      <c r="V25" s="5" t="n">
        <f aca="false">IF(ISNUMBER(SEARCH(";participación digital;",P25)),1,0)</f>
        <v>0</v>
      </c>
      <c r="W25" s="5" t="n">
        <f aca="false">IF(OR(ISNUMBER(SEARCH(";governanza colaborativa;",P25)),ISNUMBER(SEARCH(";gobernanza colaborativa;",P25))),1,0)</f>
        <v>0</v>
      </c>
      <c r="X25" s="5" t="n">
        <f aca="false">IF(ISNUMBER(SEARCH(";mini públicos;",P25)),1,0)</f>
        <v>0</v>
      </c>
      <c r="Y25" s="5" t="n">
        <f aca="false">IF(ISNUMBER(SEARCH(";referendos e iniciativas populares;",P25)),1,0)</f>
        <v>1</v>
      </c>
      <c r="Z25" s="5" t="n">
        <f aca="false">IF(ISNUMBER(SEARCH(";presupuestos participativos;",P25)),1,0)</f>
        <v>0</v>
      </c>
      <c r="AA25" s="5" t="n">
        <f aca="false">IF(ISNUMBER(SEARCH("planif",Q25)),1,0)</f>
        <v>0</v>
      </c>
      <c r="AB25" s="5" t="n">
        <f aca="false">IF(ISNUMBER(SEARCH("implement",Q25)),1,0)</f>
        <v>0</v>
      </c>
      <c r="AC25" s="5" t="n">
        <f aca="false">IF(ISNUMBER(SEARCH("análisis",Q25)),1,0)</f>
        <v>1</v>
      </c>
      <c r="AD25" s="5" t="n">
        <f aca="false">IF(ISNUMBER(SEARCH("traducción",Q25)),1,0)</f>
        <v>0</v>
      </c>
      <c r="AE25" s="5" t="n">
        <f aca="false">IF(ISNUMBER(SEARCH("público",F25)),1,0)</f>
        <v>1</v>
      </c>
      <c r="AF25" s="5" t="n">
        <f aca="false">IF(ISNUMBER(SEARCH("privado",F25)),1,0)</f>
        <v>0</v>
      </c>
      <c r="AG25" s="5" t="n">
        <f aca="false">IF(ISNUMBER(SEARCH("mixto",F25)),1,0)</f>
        <v>0</v>
      </c>
      <c r="AH25" s="5" t="n">
        <f aca="false">IF(ISNUMBER(SEARCH("único",I25)),1,0)</f>
        <v>1</v>
      </c>
      <c r="AI25" s="5" t="n">
        <f aca="false">IF(ISNUMBER(SEARCH("plataforma",I25)),1,0)</f>
        <v>0</v>
      </c>
      <c r="AJ25" s="5" t="n">
        <f aca="false">IF(ISNUMBER(SEARCH(";industria;",R25)),1,0)</f>
        <v>0</v>
      </c>
      <c r="AK25" s="5" t="n">
        <f aca="false">IF(ISNUMBER(SEARCH(";academia;",R25)),1,0)</f>
        <v>1</v>
      </c>
      <c r="AL25" s="5" t="n">
        <f aca="false">IF(ISNUMBER(SEARCH(";gobierno;",R25)),1,0)</f>
        <v>1</v>
      </c>
      <c r="AM25" s="5" t="n">
        <f aca="false">IF(ISNUMBER(SEARCH(";sociedad civil;",R25)),1,0)</f>
        <v>0</v>
      </c>
      <c r="AN25" s="5" t="n">
        <f aca="false">IF(ISNUMBER(SEARCH(";nacional;",S25)),1,0)</f>
        <v>1</v>
      </c>
      <c r="AO25" s="5" t="n">
        <f aca="false">IF(ISNUMBER(SEARCH(";internacional;",S25)),1,0)</f>
        <v>1</v>
      </c>
      <c r="AP25" s="5" t="n">
        <f aca="false">IF(ISNUMBER(SEARCH(";gobierno local;",U25)),1,0)</f>
        <v>0</v>
      </c>
      <c r="AQ25" s="5" t="n">
        <f aca="false">IF(ISNUMBER(SEARCH(";gobierno nacional;",U25)),1,0)</f>
        <v>0</v>
      </c>
      <c r="AR25" s="5" t="n">
        <f aca="false">IF(ISNUMBER(SEARCH(";otra institución pública;",U25)),1,0)</f>
        <v>0</v>
      </c>
      <c r="AS25" s="5" t="n">
        <f aca="false">IF(ISNUMBER(SEARCH(";empresa;",U25)),1,0)</f>
        <v>0</v>
      </c>
      <c r="AT25" s="5" t="n">
        <f aca="false">IF(ISNUMBER(SEARCH(";universidad;",U25)),1,0)</f>
        <v>1</v>
      </c>
      <c r="AU25" s="5" t="n">
        <f aca="false">IF(ISNUMBER(SEARCH(";sociedad civil;",U25)),1,0)</f>
        <v>0</v>
      </c>
      <c r="AV25" s="5" t="n">
        <f aca="false">IF(ISNUMBER(SEARCH(";organización internacional;",U25)),1,0)</f>
        <v>1</v>
      </c>
      <c r="AW25" s="5" t="n">
        <f aca="false">IF(N25="","",IF(AND(N25=1,('3 · Cálculo 2025 · f. nueva'!$C$25-C25)&gt;'3 · Cálculo 2025 · f. nueva'!$C$26),0,N25))</f>
        <v>2</v>
      </c>
      <c r="AX25" s="5" t="str">
        <f aca="false">IF(SUM(AP25:AV25)&lt;2,"",IF(AP25=1,"GL+","")&amp;IF(AQ25=1,"GN+","")&amp;IF(AR25=1,"OIP+","")&amp;IF(AS25=1,"EMP+","")&amp;IF(AT25=1,"UNI+","")&amp;IF(AU25=1,"SC+","")&amp;IF(AV25=1,"OI+",""))</f>
        <v>UNI+OI+</v>
      </c>
      <c r="AY25" s="5" t="n">
        <f aca="false">IF(AX25="",0,IF(COUNTIFS($A$1:A24,A25,$AX$1:AX24,AX25)=0,1,0))</f>
        <v>1</v>
      </c>
    </row>
    <row r="26" customFormat="false" ht="32.8" hidden="false" customHeight="false" outlineLevel="0" collapsed="false">
      <c r="A26" s="3" t="s">
        <v>190</v>
      </c>
      <c r="B26" s="3" t="s">
        <v>191</v>
      </c>
      <c r="C26" s="3" t="n">
        <v>2024</v>
      </c>
      <c r="D26" s="4" t="s">
        <v>192</v>
      </c>
      <c r="E26" s="4" t="s">
        <v>193</v>
      </c>
      <c r="F26" s="3" t="s">
        <v>82</v>
      </c>
      <c r="G26" s="4" t="s">
        <v>174</v>
      </c>
      <c r="H26" s="4" t="s">
        <v>144</v>
      </c>
      <c r="I26" s="3" t="s">
        <v>68</v>
      </c>
      <c r="J26" s="3" t="s">
        <v>92</v>
      </c>
      <c r="K26" s="3" t="s">
        <v>69</v>
      </c>
      <c r="L26" s="4" t="s">
        <v>156</v>
      </c>
      <c r="M26" s="4" t="s">
        <v>94</v>
      </c>
      <c r="N26" s="3" t="n">
        <v>2</v>
      </c>
      <c r="O26" s="4" t="s">
        <v>194</v>
      </c>
      <c r="P26" s="5" t="str">
        <f aca="false">";"&amp;LOWER(SUBSTITUTE(SUBSTITUTE(SUBSTITUTE(G26,"; ",";"),", ",";"),",",";"))&amp;";"</f>
        <v>;referendos e iniciativas populares;</v>
      </c>
      <c r="Q26" s="5" t="str">
        <f aca="false">";"&amp;LOWER(SUBSTITUTE(SUBSTITUTE(SUBSTITUTE(H26,"; ",";"),", ",";"),",",";"))&amp;";"</f>
        <v>;implementación;</v>
      </c>
      <c r="R26" s="5" t="str">
        <f aca="false">";"&amp;LOWER(SUBSTITUTE(SUBSTITUTE(SUBSTITUTE(J26,"; ",";"),", ",";"),",",";"))&amp;";"</f>
        <v>;academia;</v>
      </c>
      <c r="S26" s="5" t="str">
        <f aca="false">";"&amp;LOWER(SUBSTITUTE(SUBSTITUTE(SUBSTITUTE(K26,"; ",";"),", ",";"),",",";"))&amp;";"</f>
        <v>;nacional;</v>
      </c>
      <c r="T26" s="5" t="str">
        <f aca="false">";"&amp;LOWER(SUBSTITUTE(SUBSTITUTE(SUBSTITUTE(L26,"; ",";"),", ",";"),",",";"))&amp;";"</f>
        <v>;visión computacional;</v>
      </c>
      <c r="U26" s="5" t="str">
        <f aca="false">";"&amp;LOWER(SUBSTITUTE(SUBSTITUTE(SUBSTITUTE(M26,"; ",";"),", ",";"),",",";"))&amp;";"</f>
        <v>;universidad;</v>
      </c>
      <c r="V26" s="5" t="n">
        <f aca="false">IF(ISNUMBER(SEARCH(";participación digital;",P26)),1,0)</f>
        <v>0</v>
      </c>
      <c r="W26" s="5" t="n">
        <f aca="false">IF(OR(ISNUMBER(SEARCH(";governanza colaborativa;",P26)),ISNUMBER(SEARCH(";gobernanza colaborativa;",P26))),1,0)</f>
        <v>0</v>
      </c>
      <c r="X26" s="5" t="n">
        <f aca="false">IF(ISNUMBER(SEARCH(";mini públicos;",P26)),1,0)</f>
        <v>0</v>
      </c>
      <c r="Y26" s="5" t="n">
        <f aca="false">IF(ISNUMBER(SEARCH(";referendos e iniciativas populares;",P26)),1,0)</f>
        <v>1</v>
      </c>
      <c r="Z26" s="5" t="n">
        <f aca="false">IF(ISNUMBER(SEARCH(";presupuestos participativos;",P26)),1,0)</f>
        <v>0</v>
      </c>
      <c r="AA26" s="5" t="n">
        <f aca="false">IF(ISNUMBER(SEARCH("planif",Q26)),1,0)</f>
        <v>0</v>
      </c>
      <c r="AB26" s="5" t="n">
        <f aca="false">IF(ISNUMBER(SEARCH("implement",Q26)),1,0)</f>
        <v>1</v>
      </c>
      <c r="AC26" s="5" t="n">
        <f aca="false">IF(ISNUMBER(SEARCH("análisis",Q26)),1,0)</f>
        <v>0</v>
      </c>
      <c r="AD26" s="5" t="n">
        <f aca="false">IF(ISNUMBER(SEARCH("traducción",Q26)),1,0)</f>
        <v>0</v>
      </c>
      <c r="AE26" s="5" t="n">
        <f aca="false">IF(ISNUMBER(SEARCH("público",F26)),1,0)</f>
        <v>0</v>
      </c>
      <c r="AF26" s="5" t="n">
        <f aca="false">IF(ISNUMBER(SEARCH("privado",F26)),1,0)</f>
        <v>1</v>
      </c>
      <c r="AG26" s="5" t="n">
        <f aca="false">IF(ISNUMBER(SEARCH("mixto",F26)),1,0)</f>
        <v>0</v>
      </c>
      <c r="AH26" s="5" t="n">
        <f aca="false">IF(ISNUMBER(SEARCH("único",I26)),1,0)</f>
        <v>0</v>
      </c>
      <c r="AI26" s="5" t="n">
        <f aca="false">IF(ISNUMBER(SEARCH("plataforma",I26)),1,0)</f>
        <v>1</v>
      </c>
      <c r="AJ26" s="5" t="n">
        <f aca="false">IF(ISNUMBER(SEARCH(";industria;",R26)),1,0)</f>
        <v>0</v>
      </c>
      <c r="AK26" s="5" t="n">
        <f aca="false">IF(ISNUMBER(SEARCH(";academia;",R26)),1,0)</f>
        <v>1</v>
      </c>
      <c r="AL26" s="5" t="n">
        <f aca="false">IF(ISNUMBER(SEARCH(";gobierno;",R26)),1,0)</f>
        <v>0</v>
      </c>
      <c r="AM26" s="5" t="n">
        <f aca="false">IF(ISNUMBER(SEARCH(";sociedad civil;",R26)),1,0)</f>
        <v>0</v>
      </c>
      <c r="AN26" s="5" t="n">
        <f aca="false">IF(ISNUMBER(SEARCH(";nacional;",S26)),1,0)</f>
        <v>1</v>
      </c>
      <c r="AO26" s="5" t="n">
        <f aca="false">IF(ISNUMBER(SEARCH(";internacional;",S26)),1,0)</f>
        <v>0</v>
      </c>
      <c r="AP26" s="5" t="n">
        <f aca="false">IF(ISNUMBER(SEARCH(";gobierno local;",U26)),1,0)</f>
        <v>0</v>
      </c>
      <c r="AQ26" s="5" t="n">
        <f aca="false">IF(ISNUMBER(SEARCH(";gobierno nacional;",U26)),1,0)</f>
        <v>0</v>
      </c>
      <c r="AR26" s="5" t="n">
        <f aca="false">IF(ISNUMBER(SEARCH(";otra institución pública;",U26)),1,0)</f>
        <v>0</v>
      </c>
      <c r="AS26" s="5" t="n">
        <f aca="false">IF(ISNUMBER(SEARCH(";empresa;",U26)),1,0)</f>
        <v>0</v>
      </c>
      <c r="AT26" s="5" t="n">
        <f aca="false">IF(ISNUMBER(SEARCH(";universidad;",U26)),1,0)</f>
        <v>1</v>
      </c>
      <c r="AU26" s="5" t="n">
        <f aca="false">IF(ISNUMBER(SEARCH(";sociedad civil;",U26)),1,0)</f>
        <v>0</v>
      </c>
      <c r="AV26" s="5" t="n">
        <f aca="false">IF(ISNUMBER(SEARCH(";organización internacional;",U26)),1,0)</f>
        <v>0</v>
      </c>
      <c r="AW26" s="5" t="n">
        <f aca="false">IF(N26="","",IF(AND(N26=1,('3 · Cálculo 2025 · f. nueva'!$C$25-C26)&gt;'3 · Cálculo 2025 · f. nueva'!$C$26),0,N26))</f>
        <v>2</v>
      </c>
      <c r="AX26" s="5" t="str">
        <f aca="false">IF(SUM(AP26:AV26)&lt;2,"",IF(AP26=1,"GL+","")&amp;IF(AQ26=1,"GN+","")&amp;IF(AR26=1,"OIP+","")&amp;IF(AS26=1,"EMP+","")&amp;IF(AT26=1,"UNI+","")&amp;IF(AU26=1,"SC+","")&amp;IF(AV26=1,"OI+",""))</f>
        <v/>
      </c>
      <c r="AY26" s="5" t="n">
        <f aca="false">IF(AX26="",0,IF(COUNTIFS($A$1:A25,A26,$AX$1:AX25,AX26)=0,1,0))</f>
        <v>0</v>
      </c>
    </row>
    <row r="27" customFormat="false" ht="32.8" hidden="false" customHeight="false" outlineLevel="0" collapsed="false">
      <c r="A27" s="3" t="s">
        <v>190</v>
      </c>
      <c r="B27" s="3" t="s">
        <v>195</v>
      </c>
      <c r="C27" s="3" t="n">
        <v>2025</v>
      </c>
      <c r="D27" s="4" t="s">
        <v>196</v>
      </c>
      <c r="E27" s="4" t="s">
        <v>197</v>
      </c>
      <c r="F27" s="3" t="s">
        <v>55</v>
      </c>
      <c r="G27" s="4" t="s">
        <v>198</v>
      </c>
      <c r="H27" s="4" t="s">
        <v>144</v>
      </c>
      <c r="I27" s="3" t="s">
        <v>58</v>
      </c>
      <c r="J27" s="3" t="s">
        <v>84</v>
      </c>
      <c r="K27" s="3" t="s">
        <v>69</v>
      </c>
      <c r="L27" s="4" t="s">
        <v>199</v>
      </c>
      <c r="M27" s="4" t="s">
        <v>79</v>
      </c>
      <c r="N27" s="3" t="n">
        <v>2</v>
      </c>
      <c r="O27" s="4"/>
      <c r="P27" s="5" t="str">
        <f aca="false">";"&amp;LOWER(SUBSTITUTE(SUBSTITUTE(SUBSTITUTE(G27,"; ",";"),", ",";"),",",";"))&amp;";"</f>
        <v>;presupuestos participativos;</v>
      </c>
      <c r="Q27" s="5" t="str">
        <f aca="false">";"&amp;LOWER(SUBSTITUTE(SUBSTITUTE(SUBSTITUTE(H27,"; ",";"),", ",";"),",",";"))&amp;";"</f>
        <v>;implementación;</v>
      </c>
      <c r="R27" s="5" t="str">
        <f aca="false">";"&amp;LOWER(SUBSTITUTE(SUBSTITUTE(SUBSTITUTE(J27,"; ",";"),", ",";"),",",";"))&amp;";"</f>
        <v>;industria;</v>
      </c>
      <c r="S27" s="5" t="str">
        <f aca="false">";"&amp;LOWER(SUBSTITUTE(SUBSTITUTE(SUBSTITUTE(K27,"; ",";"),", ",";"),",",";"))&amp;";"</f>
        <v>;nacional;</v>
      </c>
      <c r="T27" s="5" t="str">
        <f aca="false">";"&amp;LOWER(SUBSTITUTE(SUBSTITUTE(SUBSTITUTE(L27,"; ",";"),", ",";"),",",";"))&amp;";"</f>
        <v>;chatbot - inespecífico;</v>
      </c>
      <c r="U27" s="5" t="str">
        <f aca="false">";"&amp;LOWER(SUBSTITUTE(SUBSTITUTE(SUBSTITUTE(M27,"; ",";"),", ",";"),",",";"))&amp;";"</f>
        <v>;gobierno local;</v>
      </c>
      <c r="V27" s="5" t="n">
        <f aca="false">IF(ISNUMBER(SEARCH(";participación digital;",P27)),1,0)</f>
        <v>0</v>
      </c>
      <c r="W27" s="5" t="n">
        <f aca="false">IF(OR(ISNUMBER(SEARCH(";governanza colaborativa;",P27)),ISNUMBER(SEARCH(";gobernanza colaborativa;",P27))),1,0)</f>
        <v>0</v>
      </c>
      <c r="X27" s="5" t="n">
        <f aca="false">IF(ISNUMBER(SEARCH(";mini públicos;",P27)),1,0)</f>
        <v>0</v>
      </c>
      <c r="Y27" s="5" t="n">
        <f aca="false">IF(ISNUMBER(SEARCH(";referendos e iniciativas populares;",P27)),1,0)</f>
        <v>0</v>
      </c>
      <c r="Z27" s="5" t="n">
        <f aca="false">IF(ISNUMBER(SEARCH(";presupuestos participativos;",P27)),1,0)</f>
        <v>1</v>
      </c>
      <c r="AA27" s="5" t="n">
        <f aca="false">IF(ISNUMBER(SEARCH("planif",Q27)),1,0)</f>
        <v>0</v>
      </c>
      <c r="AB27" s="5" t="n">
        <f aca="false">IF(ISNUMBER(SEARCH("implement",Q27)),1,0)</f>
        <v>1</v>
      </c>
      <c r="AC27" s="5" t="n">
        <f aca="false">IF(ISNUMBER(SEARCH("análisis",Q27)),1,0)</f>
        <v>0</v>
      </c>
      <c r="AD27" s="5" t="n">
        <f aca="false">IF(ISNUMBER(SEARCH("traducción",Q27)),1,0)</f>
        <v>0</v>
      </c>
      <c r="AE27" s="5" t="n">
        <f aca="false">IF(ISNUMBER(SEARCH("público",F27)),1,0)</f>
        <v>1</v>
      </c>
      <c r="AF27" s="5" t="n">
        <f aca="false">IF(ISNUMBER(SEARCH("privado",F27)),1,0)</f>
        <v>0</v>
      </c>
      <c r="AG27" s="5" t="n">
        <f aca="false">IF(ISNUMBER(SEARCH("mixto",F27)),1,0)</f>
        <v>0</v>
      </c>
      <c r="AH27" s="5" t="n">
        <f aca="false">IF(ISNUMBER(SEARCH("único",I27)),1,0)</f>
        <v>1</v>
      </c>
      <c r="AI27" s="5" t="n">
        <f aca="false">IF(ISNUMBER(SEARCH("plataforma",I27)),1,0)</f>
        <v>0</v>
      </c>
      <c r="AJ27" s="5" t="n">
        <f aca="false">IF(ISNUMBER(SEARCH(";industria;",R27)),1,0)</f>
        <v>1</v>
      </c>
      <c r="AK27" s="5" t="n">
        <f aca="false">IF(ISNUMBER(SEARCH(";academia;",R27)),1,0)</f>
        <v>0</v>
      </c>
      <c r="AL27" s="5" t="n">
        <f aca="false">IF(ISNUMBER(SEARCH(";gobierno;",R27)),1,0)</f>
        <v>0</v>
      </c>
      <c r="AM27" s="5" t="n">
        <f aca="false">IF(ISNUMBER(SEARCH(";sociedad civil;",R27)),1,0)</f>
        <v>0</v>
      </c>
      <c r="AN27" s="5" t="n">
        <f aca="false">IF(ISNUMBER(SEARCH(";nacional;",S27)),1,0)</f>
        <v>1</v>
      </c>
      <c r="AO27" s="5" t="n">
        <f aca="false">IF(ISNUMBER(SEARCH(";internacional;",S27)),1,0)</f>
        <v>0</v>
      </c>
      <c r="AP27" s="5" t="n">
        <f aca="false">IF(ISNUMBER(SEARCH(";gobierno local;",U27)),1,0)</f>
        <v>1</v>
      </c>
      <c r="AQ27" s="5" t="n">
        <f aca="false">IF(ISNUMBER(SEARCH(";gobierno nacional;",U27)),1,0)</f>
        <v>0</v>
      </c>
      <c r="AR27" s="5" t="n">
        <f aca="false">IF(ISNUMBER(SEARCH(";otra institución pública;",U27)),1,0)</f>
        <v>0</v>
      </c>
      <c r="AS27" s="5" t="n">
        <f aca="false">IF(ISNUMBER(SEARCH(";empresa;",U27)),1,0)</f>
        <v>0</v>
      </c>
      <c r="AT27" s="5" t="n">
        <f aca="false">IF(ISNUMBER(SEARCH(";universidad;",U27)),1,0)</f>
        <v>0</v>
      </c>
      <c r="AU27" s="5" t="n">
        <f aca="false">IF(ISNUMBER(SEARCH(";sociedad civil;",U27)),1,0)</f>
        <v>0</v>
      </c>
      <c r="AV27" s="5" t="n">
        <f aca="false">IF(ISNUMBER(SEARCH(";organización internacional;",U27)),1,0)</f>
        <v>0</v>
      </c>
      <c r="AW27" s="5" t="n">
        <f aca="false">IF(N27="","",IF(AND(N27=1,('3 · Cálculo 2025 · f. nueva'!$C$25-C27)&gt;'3 · Cálculo 2025 · f. nueva'!$C$26),0,N27))</f>
        <v>2</v>
      </c>
      <c r="AX27" s="5" t="str">
        <f aca="false">IF(SUM(AP27:AV27)&lt;2,"",IF(AP27=1,"GL+","")&amp;IF(AQ27=1,"GN+","")&amp;IF(AR27=1,"OIP+","")&amp;IF(AS27=1,"EMP+","")&amp;IF(AT27=1,"UNI+","")&amp;IF(AU27=1,"SC+","")&amp;IF(AV27=1,"OI+",""))</f>
        <v/>
      </c>
      <c r="AY27" s="5" t="n">
        <f aca="false">IF(AX27="",0,IF(COUNTIFS($A$1:A26,A27,$AX$1:AX26,AX27)=0,1,0))</f>
        <v>0</v>
      </c>
    </row>
    <row r="28" customFormat="false" ht="32.8" hidden="false" customHeight="false" outlineLevel="0" collapsed="false">
      <c r="A28" s="3" t="s">
        <v>200</v>
      </c>
      <c r="B28" s="3" t="s">
        <v>201</v>
      </c>
      <c r="C28" s="3" t="n">
        <v>2019</v>
      </c>
      <c r="D28" s="4" t="s">
        <v>202</v>
      </c>
      <c r="E28" s="4" t="s">
        <v>203</v>
      </c>
      <c r="F28" s="3" t="s">
        <v>55</v>
      </c>
      <c r="G28" s="4" t="s">
        <v>56</v>
      </c>
      <c r="H28" s="4" t="s">
        <v>83</v>
      </c>
      <c r="I28" s="3" t="s">
        <v>58</v>
      </c>
      <c r="J28" s="3" t="s">
        <v>84</v>
      </c>
      <c r="K28" s="3" t="s">
        <v>60</v>
      </c>
      <c r="L28" s="4" t="s">
        <v>138</v>
      </c>
      <c r="M28" s="4" t="s">
        <v>100</v>
      </c>
      <c r="N28" s="3" t="n">
        <v>2</v>
      </c>
      <c r="O28" s="4" t="s">
        <v>204</v>
      </c>
      <c r="P28" s="5" t="str">
        <f aca="false">";"&amp;LOWER(SUBSTITUTE(SUBSTITUTE(SUBSTITUTE(G28,"; ",";"),", ",";"),",",";"))&amp;";"</f>
        <v>;governanza colaborativa;</v>
      </c>
      <c r="Q28" s="5" t="str">
        <f aca="false">";"&amp;LOWER(SUBSTITUTE(SUBSTITUTE(SUBSTITUTE(H28,"; ",";"),", ",";"),",",";"))&amp;";"</f>
        <v>;análisis;</v>
      </c>
      <c r="R28" s="5" t="str">
        <f aca="false">";"&amp;LOWER(SUBSTITUTE(SUBSTITUTE(SUBSTITUTE(J28,"; ",";"),", ",";"),",",";"))&amp;";"</f>
        <v>;industria;</v>
      </c>
      <c r="S28" s="5" t="str">
        <f aca="false">";"&amp;LOWER(SUBSTITUTE(SUBSTITUTE(SUBSTITUTE(K28,"; ",";"),", ",";"),",",";"))&amp;";"</f>
        <v>;internacional;</v>
      </c>
      <c r="T28" s="5" t="str">
        <f aca="false">";"&amp;LOWER(SUBSTITUTE(SUBSTITUTE(SUBSTITUTE(L28,"; ",";"),", ",";"),",",";"))&amp;";"</f>
        <v>;nlp - tópicos;nlp - sentiment;</v>
      </c>
      <c r="U28" s="5" t="str">
        <f aca="false">";"&amp;LOWER(SUBSTITUTE(SUBSTITUTE(SUBSTITUTE(M28,"; ",";"),", ",";"),",",";"))&amp;";"</f>
        <v>;otra institución pública;</v>
      </c>
      <c r="V28" s="5" t="n">
        <f aca="false">IF(ISNUMBER(SEARCH(";participación digital;",P28)),1,0)</f>
        <v>0</v>
      </c>
      <c r="W28" s="5" t="n">
        <f aca="false">IF(OR(ISNUMBER(SEARCH(";governanza colaborativa;",P28)),ISNUMBER(SEARCH(";gobernanza colaborativa;",P28))),1,0)</f>
        <v>1</v>
      </c>
      <c r="X28" s="5" t="n">
        <f aca="false">IF(ISNUMBER(SEARCH(";mini públicos;",P28)),1,0)</f>
        <v>0</v>
      </c>
      <c r="Y28" s="5" t="n">
        <f aca="false">IF(ISNUMBER(SEARCH(";referendos e iniciativas populares;",P28)),1,0)</f>
        <v>0</v>
      </c>
      <c r="Z28" s="5" t="n">
        <f aca="false">IF(ISNUMBER(SEARCH(";presupuestos participativos;",P28)),1,0)</f>
        <v>0</v>
      </c>
      <c r="AA28" s="5" t="n">
        <f aca="false">IF(ISNUMBER(SEARCH("planif",Q28)),1,0)</f>
        <v>0</v>
      </c>
      <c r="AB28" s="5" t="n">
        <f aca="false">IF(ISNUMBER(SEARCH("implement",Q28)),1,0)</f>
        <v>0</v>
      </c>
      <c r="AC28" s="5" t="n">
        <f aca="false">IF(ISNUMBER(SEARCH("análisis",Q28)),1,0)</f>
        <v>1</v>
      </c>
      <c r="AD28" s="5" t="n">
        <f aca="false">IF(ISNUMBER(SEARCH("traducción",Q28)),1,0)</f>
        <v>0</v>
      </c>
      <c r="AE28" s="5" t="n">
        <f aca="false">IF(ISNUMBER(SEARCH("público",F28)),1,0)</f>
        <v>1</v>
      </c>
      <c r="AF28" s="5" t="n">
        <f aca="false">IF(ISNUMBER(SEARCH("privado",F28)),1,0)</f>
        <v>0</v>
      </c>
      <c r="AG28" s="5" t="n">
        <f aca="false">IF(ISNUMBER(SEARCH("mixto",F28)),1,0)</f>
        <v>0</v>
      </c>
      <c r="AH28" s="5" t="n">
        <f aca="false">IF(ISNUMBER(SEARCH("único",I28)),1,0)</f>
        <v>1</v>
      </c>
      <c r="AI28" s="5" t="n">
        <f aca="false">IF(ISNUMBER(SEARCH("plataforma",I28)),1,0)</f>
        <v>0</v>
      </c>
      <c r="AJ28" s="5" t="n">
        <f aca="false">IF(ISNUMBER(SEARCH(";industria;",R28)),1,0)</f>
        <v>1</v>
      </c>
      <c r="AK28" s="5" t="n">
        <f aca="false">IF(ISNUMBER(SEARCH(";academia;",R28)),1,0)</f>
        <v>0</v>
      </c>
      <c r="AL28" s="5" t="n">
        <f aca="false">IF(ISNUMBER(SEARCH(";gobierno;",R28)),1,0)</f>
        <v>0</v>
      </c>
      <c r="AM28" s="5" t="n">
        <f aca="false">IF(ISNUMBER(SEARCH(";sociedad civil;",R28)),1,0)</f>
        <v>0</v>
      </c>
      <c r="AN28" s="5" t="n">
        <f aca="false">IF(ISNUMBER(SEARCH(";nacional;",S28)),1,0)</f>
        <v>0</v>
      </c>
      <c r="AO28" s="5" t="n">
        <f aca="false">IF(ISNUMBER(SEARCH(";internacional;",S28)),1,0)</f>
        <v>1</v>
      </c>
      <c r="AP28" s="5" t="n">
        <f aca="false">IF(ISNUMBER(SEARCH(";gobierno local;",U28)),1,0)</f>
        <v>0</v>
      </c>
      <c r="AQ28" s="5" t="n">
        <f aca="false">IF(ISNUMBER(SEARCH(";gobierno nacional;",U28)),1,0)</f>
        <v>0</v>
      </c>
      <c r="AR28" s="5" t="n">
        <f aca="false">IF(ISNUMBER(SEARCH(";otra institución pública;",U28)),1,0)</f>
        <v>1</v>
      </c>
      <c r="AS28" s="5" t="n">
        <f aca="false">IF(ISNUMBER(SEARCH(";empresa;",U28)),1,0)</f>
        <v>0</v>
      </c>
      <c r="AT28" s="5" t="n">
        <f aca="false">IF(ISNUMBER(SEARCH(";universidad;",U28)),1,0)</f>
        <v>0</v>
      </c>
      <c r="AU28" s="5" t="n">
        <f aca="false">IF(ISNUMBER(SEARCH(";sociedad civil;",U28)),1,0)</f>
        <v>0</v>
      </c>
      <c r="AV28" s="5" t="n">
        <f aca="false">IF(ISNUMBER(SEARCH(";organización internacional;",U28)),1,0)</f>
        <v>0</v>
      </c>
      <c r="AW28" s="5" t="n">
        <f aca="false">IF(N28="","",IF(AND(N28=1,('3 · Cálculo 2025 · f. nueva'!$C$25-C28)&gt;'3 · Cálculo 2025 · f. nueva'!$C$26),0,N28))</f>
        <v>2</v>
      </c>
      <c r="AX28" s="5" t="str">
        <f aca="false">IF(SUM(AP28:AV28)&lt;2,"",IF(AP28=1,"GL+","")&amp;IF(AQ28=1,"GN+","")&amp;IF(AR28=1,"OIP+","")&amp;IF(AS28=1,"EMP+","")&amp;IF(AT28=1,"UNI+","")&amp;IF(AU28=1,"SC+","")&amp;IF(AV28=1,"OI+",""))</f>
        <v/>
      </c>
      <c r="AY28" s="5" t="n">
        <f aca="false">IF(AX28="",0,IF(COUNTIFS($A$1:A27,A28,$AX$1:AX27,AX28)=0,1,0))</f>
        <v>0</v>
      </c>
    </row>
    <row r="29" customFormat="false" ht="32.8" hidden="false" customHeight="false" outlineLevel="0" collapsed="false">
      <c r="A29" s="3" t="s">
        <v>200</v>
      </c>
      <c r="B29" s="3" t="s">
        <v>205</v>
      </c>
      <c r="C29" s="3" t="n">
        <v>2026</v>
      </c>
      <c r="D29" s="4" t="s">
        <v>206</v>
      </c>
      <c r="E29" s="4" t="s">
        <v>207</v>
      </c>
      <c r="F29" s="3" t="s">
        <v>55</v>
      </c>
      <c r="G29" s="4" t="s">
        <v>174</v>
      </c>
      <c r="H29" s="4" t="s">
        <v>144</v>
      </c>
      <c r="I29" s="3" t="s">
        <v>68</v>
      </c>
      <c r="J29" s="3" t="s">
        <v>59</v>
      </c>
      <c r="K29" s="3" t="s">
        <v>69</v>
      </c>
      <c r="L29" s="4" t="s">
        <v>156</v>
      </c>
      <c r="M29" s="4" t="s">
        <v>71</v>
      </c>
      <c r="N29" s="3" t="n">
        <v>1</v>
      </c>
      <c r="O29" s="4" t="s">
        <v>208</v>
      </c>
      <c r="P29" s="5" t="str">
        <f aca="false">";"&amp;LOWER(SUBSTITUTE(SUBSTITUTE(SUBSTITUTE(G29,"; ",";"),", ",";"),",",";"))&amp;";"</f>
        <v>;referendos e iniciativas populares;</v>
      </c>
      <c r="Q29" s="5" t="str">
        <f aca="false">";"&amp;LOWER(SUBSTITUTE(SUBSTITUTE(SUBSTITUTE(H29,"; ",";"),", ",";"),",",";"))&amp;";"</f>
        <v>;implementación;</v>
      </c>
      <c r="R29" s="5" t="str">
        <f aca="false">";"&amp;LOWER(SUBSTITUTE(SUBSTITUTE(SUBSTITUTE(J29,"; ",";"),", ",";"),",",";"))&amp;";"</f>
        <v>;gobierno;</v>
      </c>
      <c r="S29" s="5" t="str">
        <f aca="false">";"&amp;LOWER(SUBSTITUTE(SUBSTITUTE(SUBSTITUTE(K29,"; ",";"),", ",";"),",",";"))&amp;";"</f>
        <v>;nacional;</v>
      </c>
      <c r="T29" s="5" t="str">
        <f aca="false">";"&amp;LOWER(SUBSTITUTE(SUBSTITUTE(SUBSTITUTE(L29,"; ",";"),", ",";"),",",";"))&amp;";"</f>
        <v>;visión computacional;</v>
      </c>
      <c r="U29" s="5" t="str">
        <f aca="false">";"&amp;LOWER(SUBSTITUTE(SUBSTITUTE(SUBSTITUTE(M29,"; ",";"),", ",";"),",",";"))&amp;";"</f>
        <v>;gobierno nacional;</v>
      </c>
      <c r="V29" s="5" t="n">
        <f aca="false">IF(ISNUMBER(SEARCH(";participación digital;",P29)),1,0)</f>
        <v>0</v>
      </c>
      <c r="W29" s="5" t="n">
        <f aca="false">IF(OR(ISNUMBER(SEARCH(";governanza colaborativa;",P29)),ISNUMBER(SEARCH(";gobernanza colaborativa;",P29))),1,0)</f>
        <v>0</v>
      </c>
      <c r="X29" s="5" t="n">
        <f aca="false">IF(ISNUMBER(SEARCH(";mini públicos;",P29)),1,0)</f>
        <v>0</v>
      </c>
      <c r="Y29" s="5" t="n">
        <f aca="false">IF(ISNUMBER(SEARCH(";referendos e iniciativas populares;",P29)),1,0)</f>
        <v>1</v>
      </c>
      <c r="Z29" s="5" t="n">
        <f aca="false">IF(ISNUMBER(SEARCH(";presupuestos participativos;",P29)),1,0)</f>
        <v>0</v>
      </c>
      <c r="AA29" s="5" t="n">
        <f aca="false">IF(ISNUMBER(SEARCH("planif",Q29)),1,0)</f>
        <v>0</v>
      </c>
      <c r="AB29" s="5" t="n">
        <f aca="false">IF(ISNUMBER(SEARCH("implement",Q29)),1,0)</f>
        <v>1</v>
      </c>
      <c r="AC29" s="5" t="n">
        <f aca="false">IF(ISNUMBER(SEARCH("análisis",Q29)),1,0)</f>
        <v>0</v>
      </c>
      <c r="AD29" s="5" t="n">
        <f aca="false">IF(ISNUMBER(SEARCH("traducción",Q29)),1,0)</f>
        <v>0</v>
      </c>
      <c r="AE29" s="5" t="n">
        <f aca="false">IF(ISNUMBER(SEARCH("público",F29)),1,0)</f>
        <v>1</v>
      </c>
      <c r="AF29" s="5" t="n">
        <f aca="false">IF(ISNUMBER(SEARCH("privado",F29)),1,0)</f>
        <v>0</v>
      </c>
      <c r="AG29" s="5" t="n">
        <f aca="false">IF(ISNUMBER(SEARCH("mixto",F29)),1,0)</f>
        <v>0</v>
      </c>
      <c r="AH29" s="5" t="n">
        <f aca="false">IF(ISNUMBER(SEARCH("único",I29)),1,0)</f>
        <v>0</v>
      </c>
      <c r="AI29" s="5" t="n">
        <f aca="false">IF(ISNUMBER(SEARCH("plataforma",I29)),1,0)</f>
        <v>1</v>
      </c>
      <c r="AJ29" s="5" t="n">
        <f aca="false">IF(ISNUMBER(SEARCH(";industria;",R29)),1,0)</f>
        <v>0</v>
      </c>
      <c r="AK29" s="5" t="n">
        <f aca="false">IF(ISNUMBER(SEARCH(";academia;",R29)),1,0)</f>
        <v>0</v>
      </c>
      <c r="AL29" s="5" t="n">
        <f aca="false">IF(ISNUMBER(SEARCH(";gobierno;",R29)),1,0)</f>
        <v>1</v>
      </c>
      <c r="AM29" s="5" t="n">
        <f aca="false">IF(ISNUMBER(SEARCH(";sociedad civil;",R29)),1,0)</f>
        <v>0</v>
      </c>
      <c r="AN29" s="5" t="n">
        <f aca="false">IF(ISNUMBER(SEARCH(";nacional;",S29)),1,0)</f>
        <v>1</v>
      </c>
      <c r="AO29" s="5" t="n">
        <f aca="false">IF(ISNUMBER(SEARCH(";internacional;",S29)),1,0)</f>
        <v>0</v>
      </c>
      <c r="AP29" s="5" t="n">
        <f aca="false">IF(ISNUMBER(SEARCH(";gobierno local;",U29)),1,0)</f>
        <v>0</v>
      </c>
      <c r="AQ29" s="5" t="n">
        <f aca="false">IF(ISNUMBER(SEARCH(";gobierno nacional;",U29)),1,0)</f>
        <v>1</v>
      </c>
      <c r="AR29" s="5" t="n">
        <f aca="false">IF(ISNUMBER(SEARCH(";otra institución pública;",U29)),1,0)</f>
        <v>0</v>
      </c>
      <c r="AS29" s="5" t="n">
        <f aca="false">IF(ISNUMBER(SEARCH(";empresa;",U29)),1,0)</f>
        <v>0</v>
      </c>
      <c r="AT29" s="5" t="n">
        <f aca="false">IF(ISNUMBER(SEARCH(";universidad;",U29)),1,0)</f>
        <v>0</v>
      </c>
      <c r="AU29" s="5" t="n">
        <f aca="false">IF(ISNUMBER(SEARCH(";sociedad civil;",U29)),1,0)</f>
        <v>0</v>
      </c>
      <c r="AV29" s="5" t="n">
        <f aca="false">IF(ISNUMBER(SEARCH(";organización internacional;",U29)),1,0)</f>
        <v>0</v>
      </c>
      <c r="AW29" s="5" t="n">
        <f aca="false">IF(N29="","",IF(AND(N29=1,('3 · Cálculo 2025 · f. nueva'!$C$25-C29)&gt;'3 · Cálculo 2025 · f. nueva'!$C$26),0,N29))</f>
        <v>1</v>
      </c>
      <c r="AX29" s="5" t="str">
        <f aca="false">IF(SUM(AP29:AV29)&lt;2,"",IF(AP29=1,"GL+","")&amp;IF(AQ29=1,"GN+","")&amp;IF(AR29=1,"OIP+","")&amp;IF(AS29=1,"EMP+","")&amp;IF(AT29=1,"UNI+","")&amp;IF(AU29=1,"SC+","")&amp;IF(AV29=1,"OI+",""))</f>
        <v/>
      </c>
      <c r="AY29" s="5" t="n">
        <f aca="false">IF(AX29="",0,IF(COUNTIFS($A$1:A28,A29,$AX$1:AX28,AX29)=0,1,0))</f>
        <v>0</v>
      </c>
    </row>
    <row r="32" customFormat="false" ht="15" hidden="false" customHeight="false" outlineLevel="0" collapsed="false">
      <c r="A32" s="6" t="s">
        <v>209</v>
      </c>
      <c r="B32" s="6"/>
      <c r="C32" s="6"/>
      <c r="D32" s="6"/>
      <c r="E32" s="6"/>
      <c r="F32" s="6"/>
      <c r="G32" s="6"/>
      <c r="H32" s="6"/>
      <c r="I32" s="6"/>
      <c r="J32" s="6"/>
      <c r="K32" s="6"/>
      <c r="L32" s="6"/>
      <c r="M32" s="6"/>
      <c r="N32" s="6"/>
    </row>
    <row r="33" customFormat="false" ht="15" hidden="false" customHeight="false" outlineLevel="0" collapsed="false">
      <c r="A33" s="7" t="s">
        <v>210</v>
      </c>
      <c r="B33" s="7"/>
      <c r="C33" s="7"/>
      <c r="D33" s="7"/>
      <c r="E33" s="7"/>
      <c r="F33" s="7"/>
      <c r="G33" s="7"/>
      <c r="H33" s="7"/>
      <c r="I33" s="7"/>
      <c r="J33" s="7"/>
      <c r="K33" s="7"/>
      <c r="L33" s="7"/>
      <c r="M33" s="7"/>
      <c r="N33" s="7"/>
    </row>
    <row r="34" customFormat="false" ht="15" hidden="false" customHeight="false" outlineLevel="0" collapsed="false">
      <c r="A34" s="7" t="s">
        <v>211</v>
      </c>
      <c r="B34" s="7"/>
      <c r="C34" s="7"/>
      <c r="D34" s="7"/>
      <c r="E34" s="7"/>
      <c r="F34" s="7"/>
      <c r="G34" s="7"/>
      <c r="H34" s="7"/>
      <c r="I34" s="7"/>
      <c r="J34" s="7"/>
      <c r="K34" s="7"/>
      <c r="L34" s="7"/>
      <c r="M34" s="7"/>
      <c r="N34" s="7"/>
    </row>
    <row r="35" customFormat="false" ht="15" hidden="false" customHeight="false" outlineLevel="0" collapsed="false">
      <c r="A35" s="7" t="s">
        <v>212</v>
      </c>
      <c r="B35" s="7"/>
      <c r="C35" s="7"/>
      <c r="D35" s="7"/>
      <c r="E35" s="7"/>
      <c r="F35" s="7"/>
      <c r="G35" s="7"/>
      <c r="H35" s="7"/>
      <c r="I35" s="7"/>
      <c r="J35" s="7"/>
      <c r="K35" s="7"/>
      <c r="L35" s="7"/>
      <c r="M35" s="7"/>
      <c r="N35" s="7"/>
    </row>
    <row r="36" customFormat="false" ht="15" hidden="false" customHeight="false" outlineLevel="0" collapsed="false">
      <c r="A36" s="7" t="s">
        <v>213</v>
      </c>
      <c r="B36" s="7"/>
      <c r="C36" s="7"/>
      <c r="D36" s="7"/>
      <c r="E36" s="7"/>
      <c r="F36" s="7"/>
      <c r="G36" s="7"/>
      <c r="H36" s="7"/>
      <c r="I36" s="7"/>
      <c r="J36" s="7"/>
      <c r="K36" s="7"/>
      <c r="L36" s="7"/>
      <c r="M36" s="7"/>
      <c r="N36" s="7"/>
    </row>
    <row r="37" customFormat="false" ht="15" hidden="false" customHeight="false" outlineLevel="0" collapsed="false">
      <c r="A37" s="7" t="s">
        <v>214</v>
      </c>
      <c r="B37" s="7"/>
      <c r="C37" s="7"/>
      <c r="D37" s="7"/>
      <c r="E37" s="7"/>
      <c r="F37" s="7"/>
      <c r="G37" s="7"/>
      <c r="H37" s="7"/>
      <c r="I37" s="7"/>
      <c r="J37" s="7"/>
      <c r="K37" s="7"/>
      <c r="L37" s="7"/>
      <c r="M37" s="7"/>
      <c r="N37" s="7"/>
    </row>
    <row r="38" customFormat="false" ht="15" hidden="false" customHeight="false" outlineLevel="0" collapsed="false">
      <c r="A38" s="7" t="s">
        <v>215</v>
      </c>
      <c r="B38" s="7"/>
      <c r="C38" s="7"/>
      <c r="D38" s="7"/>
      <c r="E38" s="7"/>
      <c r="F38" s="7"/>
      <c r="G38" s="7"/>
      <c r="H38" s="7"/>
      <c r="I38" s="7"/>
      <c r="J38" s="7"/>
      <c r="K38" s="7"/>
      <c r="L38" s="7"/>
      <c r="M38" s="7"/>
      <c r="N38" s="7"/>
    </row>
  </sheetData>
  <autoFilter ref="A1:AY29"/>
  <mergeCells count="7">
    <mergeCell ref="A32:N32"/>
    <mergeCell ref="A33:N33"/>
    <mergeCell ref="A34:N34"/>
    <mergeCell ref="A35:N35"/>
    <mergeCell ref="A36:N36"/>
    <mergeCell ref="A37:N37"/>
    <mergeCell ref="A38:N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4" min="2" style="0" width="11"/>
  </cols>
  <sheetData>
    <row r="1" customFormat="false" ht="15" hidden="false" customHeight="false" outlineLevel="0" collapsed="false">
      <c r="A1" s="8" t="s">
        <v>216</v>
      </c>
    </row>
    <row r="2" customFormat="false" ht="57.75" hidden="false" customHeight="true" outlineLevel="0" collapsed="false">
      <c r="A2" s="1" t="s">
        <v>0</v>
      </c>
      <c r="B2" s="1" t="s">
        <v>217</v>
      </c>
      <c r="C2" s="1" t="s">
        <v>218</v>
      </c>
      <c r="D2" s="1" t="s">
        <v>219</v>
      </c>
      <c r="E2" s="1" t="s">
        <v>220</v>
      </c>
      <c r="F2" s="1" t="s">
        <v>221</v>
      </c>
      <c r="G2" s="1" t="s">
        <v>222</v>
      </c>
      <c r="H2" s="1" t="s">
        <v>223</v>
      </c>
      <c r="I2" s="1" t="s">
        <v>224</v>
      </c>
      <c r="J2" s="1" t="s">
        <v>225</v>
      </c>
      <c r="K2" s="1" t="s">
        <v>226</v>
      </c>
      <c r="L2" s="1" t="s">
        <v>227</v>
      </c>
      <c r="M2" s="1" t="s">
        <v>228</v>
      </c>
      <c r="N2" s="1" t="s">
        <v>229</v>
      </c>
      <c r="O2" s="1" t="s">
        <v>230</v>
      </c>
      <c r="P2" s="1" t="s">
        <v>231</v>
      </c>
      <c r="Q2" s="1" t="s">
        <v>232</v>
      </c>
      <c r="R2" s="1" t="s">
        <v>233</v>
      </c>
      <c r="S2" s="1" t="s">
        <v>234</v>
      </c>
      <c r="T2" s="1" t="s">
        <v>235</v>
      </c>
      <c r="U2" s="1" t="s">
        <v>236</v>
      </c>
      <c r="V2" s="1" t="s">
        <v>237</v>
      </c>
      <c r="W2" s="1" t="s">
        <v>238</v>
      </c>
      <c r="X2" s="1" t="s">
        <v>239</v>
      </c>
    </row>
    <row r="3" customFormat="false" ht="15" hidden="false" customHeight="false" outlineLevel="0" collapsed="false">
      <c r="A3" s="9" t="s">
        <v>240</v>
      </c>
      <c r="B3" s="10" t="n">
        <f aca="false">COUNTIF('1 · BBDD 2025 (insumo)'!$A$2:$A$29,$A3)</f>
        <v>0</v>
      </c>
      <c r="C3" s="10" t="n">
        <f aca="false">$G$29</f>
        <v>0</v>
      </c>
      <c r="D3" s="11" t="n">
        <f aca="false">C3/5*100</f>
        <v>0</v>
      </c>
      <c r="E3" s="10" t="n">
        <f aca="false">$F$53</f>
        <v>0</v>
      </c>
      <c r="F3" s="11" t="n">
        <f aca="false">E3/4*100</f>
        <v>0</v>
      </c>
      <c r="G3" s="10" t="n">
        <f aca="false">$D$77</f>
        <v>0</v>
      </c>
      <c r="H3" s="11" t="n">
        <f aca="false">G3/2*100</f>
        <v>0</v>
      </c>
      <c r="I3" s="10" t="n">
        <f aca="false">$E$101</f>
        <v>0</v>
      </c>
      <c r="J3" s="11" t="n">
        <f aca="false">I3/3*100</f>
        <v>0</v>
      </c>
      <c r="K3" s="11" t="n">
        <f aca="false">(D3+F3+H3+J3)/4</f>
        <v>0</v>
      </c>
      <c r="L3" s="12" t="n">
        <f aca="false">ROUND(K3,0)</f>
        <v>0</v>
      </c>
      <c r="M3" s="10" t="n">
        <f aca="false">$F$125</f>
        <v>0</v>
      </c>
      <c r="N3" s="10" t="n">
        <f aca="false">$F$149</f>
        <v>0</v>
      </c>
      <c r="O3" s="11" t="n">
        <f aca="false">(IF($C$24=0,0,M3/$C$24)+IF($C$25=0,0,N3/$C$25))/2*100</f>
        <v>0</v>
      </c>
      <c r="P3" s="10" t="n">
        <f aca="false">$K$173</f>
        <v>0</v>
      </c>
      <c r="Q3" s="11" t="n">
        <f aca="false">IF($C$26=0,0,P3/$C$26*100)</f>
        <v>0</v>
      </c>
      <c r="R3" s="11" t="n">
        <f aca="false">(O3+Q3)/2</f>
        <v>0</v>
      </c>
      <c r="S3" s="12" t="n">
        <f aca="false">ROUND(R3,0)</f>
        <v>0</v>
      </c>
      <c r="T3" s="13" t="n">
        <f aca="false">ROUND((L3+S3)/2,0)</f>
        <v>0</v>
      </c>
      <c r="U3" s="14" t="n">
        <v>0</v>
      </c>
      <c r="V3" s="14" t="n">
        <v>0</v>
      </c>
      <c r="W3" s="14" t="n">
        <v>0</v>
      </c>
      <c r="X3" s="9" t="str">
        <f aca="false">IF(W3="s/d","s/d",IF(ABS(T3-W3)&lt;=1,"✓","✗"))</f>
        <v>✓</v>
      </c>
    </row>
    <row r="4" customFormat="false" ht="15" hidden="false" customHeight="false" outlineLevel="0" collapsed="false">
      <c r="A4" s="9" t="s">
        <v>51</v>
      </c>
      <c r="B4" s="10" t="n">
        <f aca="false">COUNTIF('1 · BBDD 2025 (insumo)'!$A$2:$A$29,$A4)</f>
        <v>1</v>
      </c>
      <c r="C4" s="10" t="n">
        <f aca="false">$G$30</f>
        <v>1</v>
      </c>
      <c r="D4" s="11" t="n">
        <f aca="false">C4/5*100</f>
        <v>20</v>
      </c>
      <c r="E4" s="10" t="n">
        <f aca="false">$F$54</f>
        <v>2</v>
      </c>
      <c r="F4" s="11" t="n">
        <f aca="false">E4/4*100</f>
        <v>50</v>
      </c>
      <c r="G4" s="10" t="n">
        <f aca="false">$D$78</f>
        <v>1</v>
      </c>
      <c r="H4" s="11" t="n">
        <f aca="false">G4/2*100</f>
        <v>50</v>
      </c>
      <c r="I4" s="10" t="n">
        <f aca="false">$E$102</f>
        <v>1</v>
      </c>
      <c r="J4" s="11" t="n">
        <f aca="false">I4/3*100</f>
        <v>33.3333333333333</v>
      </c>
      <c r="K4" s="11" t="n">
        <f aca="false">(D4+F4+H4+J4)/4</f>
        <v>38.3333333333333</v>
      </c>
      <c r="L4" s="12" t="n">
        <f aca="false">ROUND(K4,0)</f>
        <v>38</v>
      </c>
      <c r="M4" s="10" t="n">
        <f aca="false">$F$126</f>
        <v>0</v>
      </c>
      <c r="N4" s="10" t="n">
        <f aca="false">$F$150</f>
        <v>1</v>
      </c>
      <c r="O4" s="11" t="n">
        <f aca="false">(IF($C$24=0,0,M4/$C$24)+IF($C$25=0,0,N4/$C$25))/2*100</f>
        <v>25</v>
      </c>
      <c r="P4" s="10" t="n">
        <f aca="false">$K$174</f>
        <v>1</v>
      </c>
      <c r="Q4" s="11" t="n">
        <f aca="false">IF($C$26=0,0,P4/$C$26*100)</f>
        <v>20</v>
      </c>
      <c r="R4" s="11" t="n">
        <f aca="false">(O4+Q4)/2</f>
        <v>22.5</v>
      </c>
      <c r="S4" s="12" t="n">
        <f aca="false">ROUND(R4,0)</f>
        <v>23</v>
      </c>
      <c r="T4" s="13" t="n">
        <f aca="false">ROUND((L4+S4)/2,0)</f>
        <v>31</v>
      </c>
      <c r="U4" s="14" t="n">
        <v>38</v>
      </c>
      <c r="V4" s="14" t="n">
        <v>23</v>
      </c>
      <c r="W4" s="14" t="n">
        <v>30</v>
      </c>
      <c r="X4" s="9" t="str">
        <f aca="false">IF(W4="s/d","s/d",IF(ABS(T4-W4)&lt;=1,"✓","✗"))</f>
        <v>✓</v>
      </c>
    </row>
    <row r="5" customFormat="false" ht="15" hidden="false" customHeight="false" outlineLevel="0" collapsed="false">
      <c r="A5" s="9" t="s">
        <v>63</v>
      </c>
      <c r="B5" s="10" t="n">
        <f aca="false">COUNTIF('1 · BBDD 2025 (insumo)'!$A$2:$A$29,$A5)</f>
        <v>4</v>
      </c>
      <c r="C5" s="10" t="n">
        <f aca="false">$G$31</f>
        <v>1</v>
      </c>
      <c r="D5" s="11" t="n">
        <f aca="false">C5/5*100</f>
        <v>20</v>
      </c>
      <c r="E5" s="10" t="n">
        <f aca="false">$F$55</f>
        <v>3</v>
      </c>
      <c r="F5" s="11" t="n">
        <f aca="false">E5/4*100</f>
        <v>75</v>
      </c>
      <c r="G5" s="10" t="n">
        <f aca="false">$D$79</f>
        <v>1</v>
      </c>
      <c r="H5" s="11" t="n">
        <f aca="false">G5/2*100</f>
        <v>50</v>
      </c>
      <c r="I5" s="10" t="n">
        <f aca="false">$E$103</f>
        <v>2</v>
      </c>
      <c r="J5" s="11" t="n">
        <f aca="false">I5/3*100</f>
        <v>66.6666666666667</v>
      </c>
      <c r="K5" s="11" t="n">
        <f aca="false">(D5+F5+H5+J5)/4</f>
        <v>52.9166666666667</v>
      </c>
      <c r="L5" s="12" t="n">
        <f aca="false">ROUND(K5,0)</f>
        <v>53</v>
      </c>
      <c r="M5" s="10" t="n">
        <f aca="false">$F$127</f>
        <v>3</v>
      </c>
      <c r="N5" s="10" t="n">
        <f aca="false">$F$151</f>
        <v>2</v>
      </c>
      <c r="O5" s="11" t="n">
        <f aca="false">(IF($C$24=0,0,M5/$C$24)+IF($C$25=0,0,N5/$C$25))/2*100</f>
        <v>100</v>
      </c>
      <c r="P5" s="10" t="n">
        <f aca="false">$K$175</f>
        <v>5</v>
      </c>
      <c r="Q5" s="11" t="n">
        <f aca="false">IF($C$26=0,0,P5/$C$26*100)</f>
        <v>100</v>
      </c>
      <c r="R5" s="11" t="n">
        <f aca="false">(O5+Q5)/2</f>
        <v>100</v>
      </c>
      <c r="S5" s="12" t="n">
        <f aca="false">ROUND(R5,0)</f>
        <v>100</v>
      </c>
      <c r="T5" s="13" t="n">
        <f aca="false">ROUND((L5+S5)/2,0)</f>
        <v>77</v>
      </c>
      <c r="U5" s="14" t="n">
        <v>53</v>
      </c>
      <c r="V5" s="14" t="n">
        <v>100</v>
      </c>
      <c r="W5" s="14" t="n">
        <v>76</v>
      </c>
      <c r="X5" s="9" t="str">
        <f aca="false">IF(W5="s/d","s/d",IF(ABS(T5-W5)&lt;=1,"✓","✗"))</f>
        <v>✓</v>
      </c>
    </row>
    <row r="6" customFormat="false" ht="15" hidden="false" customHeight="false" outlineLevel="0" collapsed="false">
      <c r="A6" s="9" t="s">
        <v>96</v>
      </c>
      <c r="B6" s="10" t="n">
        <f aca="false">COUNTIF('1 · BBDD 2025 (insumo)'!$A$2:$A$29,$A6)</f>
        <v>9</v>
      </c>
      <c r="C6" s="10" t="n">
        <f aca="false">$G$32</f>
        <v>1</v>
      </c>
      <c r="D6" s="11" t="n">
        <f aca="false">C6/5*100</f>
        <v>20</v>
      </c>
      <c r="E6" s="10" t="n">
        <f aca="false">$F$56</f>
        <v>2</v>
      </c>
      <c r="F6" s="11" t="n">
        <f aca="false">E6/4*100</f>
        <v>50</v>
      </c>
      <c r="G6" s="10" t="n">
        <f aca="false">$D$80</f>
        <v>1</v>
      </c>
      <c r="H6" s="11" t="n">
        <f aca="false">G6/2*100</f>
        <v>50</v>
      </c>
      <c r="I6" s="10" t="n">
        <f aca="false">$E$104</f>
        <v>3</v>
      </c>
      <c r="J6" s="11" t="n">
        <f aca="false">I6/3*100</f>
        <v>100</v>
      </c>
      <c r="K6" s="11" t="n">
        <f aca="false">(D6+F6+H6+J6)/4</f>
        <v>55</v>
      </c>
      <c r="L6" s="12" t="n">
        <f aca="false">ROUND(K6,0)</f>
        <v>55</v>
      </c>
      <c r="M6" s="10" t="n">
        <f aca="false">$F$128</f>
        <v>2</v>
      </c>
      <c r="N6" s="10" t="n">
        <f aca="false">$F$152</f>
        <v>1</v>
      </c>
      <c r="O6" s="11" t="n">
        <f aca="false">(IF($C$24=0,0,M6/$C$24)+IF($C$25=0,0,N6/$C$25))/2*100</f>
        <v>58.3333333333333</v>
      </c>
      <c r="P6" s="10" t="n">
        <f aca="false">$K$176</f>
        <v>3</v>
      </c>
      <c r="Q6" s="11" t="n">
        <f aca="false">IF($C$26=0,0,P6/$C$26*100)</f>
        <v>60</v>
      </c>
      <c r="R6" s="11" t="n">
        <f aca="false">(O6+Q6)/2</f>
        <v>59.1666666666667</v>
      </c>
      <c r="S6" s="12" t="n">
        <f aca="false">ROUND(R6,0)</f>
        <v>59</v>
      </c>
      <c r="T6" s="13" t="n">
        <f aca="false">ROUND((L6+S6)/2,0)</f>
        <v>57</v>
      </c>
      <c r="U6" s="14" t="n">
        <v>55</v>
      </c>
      <c r="V6" s="14" t="n">
        <v>59</v>
      </c>
      <c r="W6" s="14" t="n">
        <v>57</v>
      </c>
      <c r="X6" s="9" t="str">
        <f aca="false">IF(W6="s/d","s/d",IF(ABS(T6-W6)&lt;=1,"✓","✗"))</f>
        <v>✓</v>
      </c>
    </row>
    <row r="7" customFormat="false" ht="15" hidden="false" customHeight="false" outlineLevel="0" collapsed="false">
      <c r="A7" s="9" t="s">
        <v>128</v>
      </c>
      <c r="B7" s="10" t="n">
        <f aca="false">COUNTIF('1 · BBDD 2025 (insumo)'!$A$2:$A$29,$A7)</f>
        <v>4</v>
      </c>
      <c r="C7" s="10" t="n">
        <f aca="false">$G$33</f>
        <v>3</v>
      </c>
      <c r="D7" s="11" t="n">
        <f aca="false">C7/5*100</f>
        <v>60</v>
      </c>
      <c r="E7" s="10" t="n">
        <f aca="false">$F$57</f>
        <v>2</v>
      </c>
      <c r="F7" s="11" t="n">
        <f aca="false">E7/4*100</f>
        <v>50</v>
      </c>
      <c r="G7" s="10" t="n">
        <f aca="false">$D$81</f>
        <v>2</v>
      </c>
      <c r="H7" s="11" t="n">
        <f aca="false">G7/2*100</f>
        <v>100</v>
      </c>
      <c r="I7" s="10" t="n">
        <f aca="false">$E$105</f>
        <v>2</v>
      </c>
      <c r="J7" s="11" t="n">
        <f aca="false">I7/3*100</f>
        <v>66.6666666666667</v>
      </c>
      <c r="K7" s="11" t="n">
        <f aca="false">(D7+F7+H7+J7)/4</f>
        <v>69.1666666666667</v>
      </c>
      <c r="L7" s="12" t="n">
        <f aca="false">ROUND(K7,0)</f>
        <v>69</v>
      </c>
      <c r="M7" s="10" t="n">
        <f aca="false">$F$129</f>
        <v>3</v>
      </c>
      <c r="N7" s="10" t="n">
        <f aca="false">$F$153</f>
        <v>2</v>
      </c>
      <c r="O7" s="11" t="n">
        <f aca="false">(IF($C$24=0,0,M7/$C$24)+IF($C$25=0,0,N7/$C$25))/2*100</f>
        <v>100</v>
      </c>
      <c r="P7" s="10" t="n">
        <f aca="false">$K$177</f>
        <v>5</v>
      </c>
      <c r="Q7" s="11" t="n">
        <f aca="false">IF($C$26=0,0,P7/$C$26*100)</f>
        <v>100</v>
      </c>
      <c r="R7" s="11" t="n">
        <f aca="false">(O7+Q7)/2</f>
        <v>100</v>
      </c>
      <c r="S7" s="12" t="n">
        <f aca="false">ROUND(R7,0)</f>
        <v>100</v>
      </c>
      <c r="T7" s="13" t="n">
        <f aca="false">ROUND((L7+S7)/2,0)</f>
        <v>85</v>
      </c>
      <c r="U7" s="14" t="n">
        <v>69</v>
      </c>
      <c r="V7" s="14" t="n">
        <v>100</v>
      </c>
      <c r="W7" s="14" t="n">
        <v>85</v>
      </c>
      <c r="X7" s="9" t="str">
        <f aca="false">IF(W7="s/d","s/d",IF(ABS(T7-W7)&lt;=1,"✓","✗"))</f>
        <v>✓</v>
      </c>
    </row>
    <row r="8" customFormat="false" ht="15" hidden="false" customHeight="false" outlineLevel="0" collapsed="false">
      <c r="A8" s="9" t="s">
        <v>151</v>
      </c>
      <c r="B8" s="10" t="n">
        <f aca="false">COUNTIF('1 · BBDD 2025 (insumo)'!$A$2:$A$29,$A8)</f>
        <v>2</v>
      </c>
      <c r="C8" s="10" t="n">
        <f aca="false">$G$34</f>
        <v>1</v>
      </c>
      <c r="D8" s="11" t="n">
        <f aca="false">C8/5*100</f>
        <v>20</v>
      </c>
      <c r="E8" s="10" t="n">
        <f aca="false">$F$58</f>
        <v>2</v>
      </c>
      <c r="F8" s="11" t="n">
        <f aca="false">E8/4*100</f>
        <v>50</v>
      </c>
      <c r="G8" s="10" t="n">
        <f aca="false">$D$82</f>
        <v>1</v>
      </c>
      <c r="H8" s="11" t="n">
        <f aca="false">G8/2*100</f>
        <v>50</v>
      </c>
      <c r="I8" s="10" t="n">
        <f aca="false">$E$106</f>
        <v>1</v>
      </c>
      <c r="J8" s="11" t="n">
        <f aca="false">I8/3*100</f>
        <v>33.3333333333333</v>
      </c>
      <c r="K8" s="11" t="n">
        <f aca="false">(D8+F8+H8+J8)/4</f>
        <v>38.3333333333333</v>
      </c>
      <c r="L8" s="12" t="n">
        <f aca="false">ROUND(K8,0)</f>
        <v>38</v>
      </c>
      <c r="M8" s="10" t="n">
        <f aca="false">$F$130</f>
        <v>1</v>
      </c>
      <c r="N8" s="10" t="n">
        <f aca="false">$F$154</f>
        <v>2</v>
      </c>
      <c r="O8" s="11" t="n">
        <f aca="false">(IF($C$24=0,0,M8/$C$24)+IF($C$25=0,0,N8/$C$25))/2*100</f>
        <v>66.6666666666667</v>
      </c>
      <c r="P8" s="10" t="n">
        <f aca="false">$K$178</f>
        <v>2</v>
      </c>
      <c r="Q8" s="11" t="n">
        <f aca="false">IF($C$26=0,0,P8/$C$26*100)</f>
        <v>40</v>
      </c>
      <c r="R8" s="11" t="n">
        <f aca="false">(O8+Q8)/2</f>
        <v>53.3333333333333</v>
      </c>
      <c r="S8" s="12" t="n">
        <f aca="false">ROUND(R8,0)</f>
        <v>53</v>
      </c>
      <c r="T8" s="13" t="n">
        <f aca="false">ROUND((L8+S8)/2,0)</f>
        <v>46</v>
      </c>
      <c r="U8" s="14" t="n">
        <v>38</v>
      </c>
      <c r="V8" s="14" t="n">
        <v>53</v>
      </c>
      <c r="W8" s="14" t="n">
        <v>46</v>
      </c>
      <c r="X8" s="9" t="str">
        <f aca="false">IF(W8="s/d","s/d",IF(ABS(T8-W8)&lt;=1,"✓","✗"))</f>
        <v>✓</v>
      </c>
    </row>
    <row r="9" customFormat="false" ht="15" hidden="false" customHeight="false" outlineLevel="0" collapsed="false">
      <c r="A9" s="9" t="s">
        <v>241</v>
      </c>
      <c r="B9" s="10" t="n">
        <f aca="false">COUNTIF('1 · BBDD 2025 (insumo)'!$A$2:$A$29,$A9)</f>
        <v>0</v>
      </c>
      <c r="C9" s="10" t="n">
        <f aca="false">$G$35</f>
        <v>0</v>
      </c>
      <c r="D9" s="11" t="n">
        <f aca="false">C9/5*100</f>
        <v>0</v>
      </c>
      <c r="E9" s="10" t="n">
        <f aca="false">$F$59</f>
        <v>0</v>
      </c>
      <c r="F9" s="11" t="n">
        <f aca="false">E9/4*100</f>
        <v>0</v>
      </c>
      <c r="G9" s="10" t="n">
        <f aca="false">$D$83</f>
        <v>0</v>
      </c>
      <c r="H9" s="11" t="n">
        <f aca="false">G9/2*100</f>
        <v>0</v>
      </c>
      <c r="I9" s="10" t="n">
        <f aca="false">$E$107</f>
        <v>0</v>
      </c>
      <c r="J9" s="11" t="n">
        <f aca="false">I9/3*100</f>
        <v>0</v>
      </c>
      <c r="K9" s="11" t="n">
        <f aca="false">(D9+F9+H9+J9)/4</f>
        <v>0</v>
      </c>
      <c r="L9" s="12" t="n">
        <f aca="false">ROUND(K9,0)</f>
        <v>0</v>
      </c>
      <c r="M9" s="10" t="n">
        <f aca="false">$F$131</f>
        <v>0</v>
      </c>
      <c r="N9" s="10" t="n">
        <f aca="false">$F$155</f>
        <v>0</v>
      </c>
      <c r="O9" s="11" t="n">
        <f aca="false">(IF($C$24=0,0,M9/$C$24)+IF($C$25=0,0,N9/$C$25))/2*100</f>
        <v>0</v>
      </c>
      <c r="P9" s="10" t="n">
        <f aca="false">$K$179</f>
        <v>0</v>
      </c>
      <c r="Q9" s="11" t="n">
        <f aca="false">IF($C$26=0,0,P9/$C$26*100)</f>
        <v>0</v>
      </c>
      <c r="R9" s="11" t="n">
        <f aca="false">(O9+Q9)/2</f>
        <v>0</v>
      </c>
      <c r="S9" s="12" t="n">
        <f aca="false">ROUND(R9,0)</f>
        <v>0</v>
      </c>
      <c r="T9" s="13" t="n">
        <f aca="false">ROUND((L9+S9)/2,0)</f>
        <v>0</v>
      </c>
      <c r="U9" s="14" t="n">
        <v>0</v>
      </c>
      <c r="V9" s="14" t="n">
        <v>0</v>
      </c>
      <c r="W9" s="14" t="n">
        <v>0</v>
      </c>
      <c r="X9" s="9" t="str">
        <f aca="false">IF(W9="s/d","s/d",IF(ABS(T9-W9)&lt;=1,"✓","✗"))</f>
        <v>✓</v>
      </c>
    </row>
    <row r="10" customFormat="false" ht="15" hidden="false" customHeight="false" outlineLevel="0" collapsed="false">
      <c r="A10" s="9" t="s">
        <v>163</v>
      </c>
      <c r="B10" s="10" t="n">
        <f aca="false">COUNTIF('1 · BBDD 2025 (insumo)'!$A$2:$A$29,$A10)</f>
        <v>1</v>
      </c>
      <c r="C10" s="10" t="n">
        <f aca="false">$G$36</f>
        <v>1</v>
      </c>
      <c r="D10" s="11" t="n">
        <f aca="false">C10/5*100</f>
        <v>20</v>
      </c>
      <c r="E10" s="10" t="n">
        <f aca="false">$F$60</f>
        <v>1</v>
      </c>
      <c r="F10" s="11" t="n">
        <f aca="false">E10/4*100</f>
        <v>25</v>
      </c>
      <c r="G10" s="10" t="n">
        <f aca="false">$D$84</f>
        <v>1</v>
      </c>
      <c r="H10" s="11" t="n">
        <f aca="false">G10/2*100</f>
        <v>50</v>
      </c>
      <c r="I10" s="10" t="n">
        <f aca="false">$E$108</f>
        <v>1</v>
      </c>
      <c r="J10" s="11" t="n">
        <f aca="false">I10/3*100</f>
        <v>33.3333333333333</v>
      </c>
      <c r="K10" s="11" t="n">
        <f aca="false">(D10+F10+H10+J10)/4</f>
        <v>32.0833333333333</v>
      </c>
      <c r="L10" s="12" t="n">
        <f aca="false">ROUND(K10,0)</f>
        <v>32</v>
      </c>
      <c r="M10" s="10" t="n">
        <f aca="false">$F$132</f>
        <v>1</v>
      </c>
      <c r="N10" s="10" t="n">
        <f aca="false">$F$156</f>
        <v>0</v>
      </c>
      <c r="O10" s="11" t="n">
        <f aca="false">(IF($C$24=0,0,M10/$C$24)+IF($C$25=0,0,N10/$C$25))/2*100</f>
        <v>16.6666666666667</v>
      </c>
      <c r="P10" s="10" t="n">
        <f aca="false">$K$180</f>
        <v>2</v>
      </c>
      <c r="Q10" s="11" t="n">
        <f aca="false">IF($C$26=0,0,P10/$C$26*100)</f>
        <v>40</v>
      </c>
      <c r="R10" s="11" t="n">
        <f aca="false">(O10+Q10)/2</f>
        <v>28.3333333333333</v>
      </c>
      <c r="S10" s="12" t="n">
        <f aca="false">ROUND(R10,0)</f>
        <v>28</v>
      </c>
      <c r="T10" s="13" t="n">
        <f aca="false">ROUND((L10+S10)/2,0)</f>
        <v>30</v>
      </c>
      <c r="U10" s="14" t="n">
        <v>32</v>
      </c>
      <c r="V10" s="14" t="n">
        <v>28</v>
      </c>
      <c r="W10" s="14" t="n">
        <v>30</v>
      </c>
      <c r="X10" s="9" t="str">
        <f aca="false">IF(W10="s/d","s/d",IF(ABS(T10-W10)&lt;=1,"✓","✗"))</f>
        <v>✓</v>
      </c>
    </row>
    <row r="11" customFormat="false" ht="15" hidden="false" customHeight="false" outlineLevel="0" collapsed="false">
      <c r="A11" s="9" t="s">
        <v>170</v>
      </c>
      <c r="B11" s="10" t="n">
        <f aca="false">COUNTIF('1 · BBDD 2025 (insumo)'!$A$2:$A$29,$A11)</f>
        <v>1</v>
      </c>
      <c r="C11" s="10" t="n">
        <f aca="false">$G$37</f>
        <v>1</v>
      </c>
      <c r="D11" s="11" t="n">
        <f aca="false">C11/5*100</f>
        <v>20</v>
      </c>
      <c r="E11" s="10" t="n">
        <f aca="false">$F$61</f>
        <v>1</v>
      </c>
      <c r="F11" s="11" t="n">
        <f aca="false">E11/4*100</f>
        <v>25</v>
      </c>
      <c r="G11" s="10" t="n">
        <f aca="false">$D$85</f>
        <v>1</v>
      </c>
      <c r="H11" s="11" t="n">
        <f aca="false">G11/2*100</f>
        <v>50</v>
      </c>
      <c r="I11" s="10" t="n">
        <f aca="false">$E$109</f>
        <v>1</v>
      </c>
      <c r="J11" s="11" t="n">
        <f aca="false">I11/3*100</f>
        <v>33.3333333333333</v>
      </c>
      <c r="K11" s="11" t="n">
        <f aca="false">(D11+F11+H11+J11)/4</f>
        <v>32.0833333333333</v>
      </c>
      <c r="L11" s="12" t="n">
        <f aca="false">ROUND(K11,0)</f>
        <v>32</v>
      </c>
      <c r="M11" s="10" t="n">
        <f aca="false">$F$133</f>
        <v>1</v>
      </c>
      <c r="N11" s="10" t="n">
        <f aca="false">$F$157</f>
        <v>0</v>
      </c>
      <c r="O11" s="11" t="n">
        <f aca="false">(IF($C$24=0,0,M11/$C$24)+IF($C$25=0,0,N11/$C$25))/2*100</f>
        <v>16.6666666666667</v>
      </c>
      <c r="P11" s="10" t="n">
        <f aca="false">$K$181</f>
        <v>1</v>
      </c>
      <c r="Q11" s="11" t="n">
        <f aca="false">IF($C$26=0,0,P11/$C$26*100)</f>
        <v>20</v>
      </c>
      <c r="R11" s="11" t="n">
        <f aca="false">(O11+Q11)/2</f>
        <v>18.3333333333333</v>
      </c>
      <c r="S11" s="12" t="n">
        <f aca="false">ROUND(R11,0)</f>
        <v>18</v>
      </c>
      <c r="T11" s="13" t="n">
        <f aca="false">ROUND((L11+S11)/2,0)</f>
        <v>25</v>
      </c>
      <c r="U11" s="14" t="n">
        <v>32</v>
      </c>
      <c r="V11" s="14" t="n">
        <v>18</v>
      </c>
      <c r="W11" s="14" t="n">
        <v>25</v>
      </c>
      <c r="X11" s="9" t="str">
        <f aca="false">IF(W11="s/d","s/d",IF(ABS(T11-W11)&lt;=1,"✓","✗"))</f>
        <v>✓</v>
      </c>
    </row>
    <row r="12" customFormat="false" ht="15" hidden="false" customHeight="false" outlineLevel="0" collapsed="false">
      <c r="A12" s="9" t="s">
        <v>177</v>
      </c>
      <c r="B12" s="10" t="n">
        <f aca="false">COUNTIF('1 · BBDD 2025 (insumo)'!$A$2:$A$29,$A12)</f>
        <v>1</v>
      </c>
      <c r="C12" s="10" t="n">
        <f aca="false">$G$38</f>
        <v>1</v>
      </c>
      <c r="D12" s="11" t="n">
        <f aca="false">C12/5*100</f>
        <v>20</v>
      </c>
      <c r="E12" s="10" t="n">
        <f aca="false">$F$62</f>
        <v>1</v>
      </c>
      <c r="F12" s="11" t="n">
        <f aca="false">E12/4*100</f>
        <v>25</v>
      </c>
      <c r="G12" s="10" t="n">
        <f aca="false">$D$86</f>
        <v>1</v>
      </c>
      <c r="H12" s="11" t="n">
        <f aca="false">G12/2*100</f>
        <v>50</v>
      </c>
      <c r="I12" s="10" t="n">
        <f aca="false">$E$110</f>
        <v>1</v>
      </c>
      <c r="J12" s="11" t="n">
        <f aca="false">I12/3*100</f>
        <v>33.3333333333333</v>
      </c>
      <c r="K12" s="11" t="n">
        <f aca="false">(D12+F12+H12+J12)/4</f>
        <v>32.0833333333333</v>
      </c>
      <c r="L12" s="12" t="n">
        <f aca="false">ROUND(K12,0)</f>
        <v>32</v>
      </c>
      <c r="M12" s="10" t="n">
        <f aca="false">$F$134</f>
        <v>0</v>
      </c>
      <c r="N12" s="10" t="n">
        <f aca="false">$F$158</f>
        <v>1</v>
      </c>
      <c r="O12" s="11" t="n">
        <f aca="false">(IF($C$24=0,0,M12/$C$24)+IF($C$25=0,0,N12/$C$25))/2*100</f>
        <v>25</v>
      </c>
      <c r="P12" s="10" t="n">
        <f aca="false">$K$182</f>
        <v>2</v>
      </c>
      <c r="Q12" s="11" t="n">
        <f aca="false">IF($C$26=0,0,P12/$C$26*100)</f>
        <v>40</v>
      </c>
      <c r="R12" s="11" t="n">
        <f aca="false">(O12+Q12)/2</f>
        <v>32.5</v>
      </c>
      <c r="S12" s="12" t="n">
        <f aca="false">ROUND(R12,0)</f>
        <v>33</v>
      </c>
      <c r="T12" s="13" t="n">
        <f aca="false">ROUND((L12+S12)/2,0)</f>
        <v>33</v>
      </c>
      <c r="U12" s="14" t="n">
        <v>32</v>
      </c>
      <c r="V12" s="14" t="n">
        <v>33</v>
      </c>
      <c r="W12" s="14" t="n">
        <v>32</v>
      </c>
      <c r="X12" s="9" t="str">
        <f aca="false">IF(W12="s/d","s/d",IF(ABS(T12-W12)&lt;=1,"✓","✗"))</f>
        <v>✓</v>
      </c>
    </row>
    <row r="13" customFormat="false" ht="15" hidden="false" customHeight="false" outlineLevel="0" collapsed="false">
      <c r="A13" s="9" t="s">
        <v>183</v>
      </c>
      <c r="B13" s="10" t="n">
        <f aca="false">COUNTIF('1 · BBDD 2025 (insumo)'!$A$2:$A$29,$A13)</f>
        <v>1</v>
      </c>
      <c r="C13" s="10" t="n">
        <f aca="false">$G$39</f>
        <v>1</v>
      </c>
      <c r="D13" s="11" t="n">
        <f aca="false">C13/5*100</f>
        <v>20</v>
      </c>
      <c r="E13" s="10" t="n">
        <f aca="false">$F$63</f>
        <v>1</v>
      </c>
      <c r="F13" s="11" t="n">
        <f aca="false">E13/4*100</f>
        <v>25</v>
      </c>
      <c r="G13" s="10" t="n">
        <f aca="false">$D$87</f>
        <v>1</v>
      </c>
      <c r="H13" s="11" t="n">
        <f aca="false">G13/2*100</f>
        <v>50</v>
      </c>
      <c r="I13" s="10" t="n">
        <f aca="false">$E$111</f>
        <v>1</v>
      </c>
      <c r="J13" s="11" t="n">
        <f aca="false">I13/3*100</f>
        <v>33.3333333333333</v>
      </c>
      <c r="K13" s="11" t="n">
        <f aca="false">(D13+F13+H13+J13)/4</f>
        <v>32.0833333333333</v>
      </c>
      <c r="L13" s="12" t="n">
        <f aca="false">ROUND(K13,0)</f>
        <v>32</v>
      </c>
      <c r="M13" s="10" t="n">
        <f aca="false">$F$135</f>
        <v>2</v>
      </c>
      <c r="N13" s="10" t="n">
        <f aca="false">$F$159</f>
        <v>2</v>
      </c>
      <c r="O13" s="11" t="n">
        <f aca="false">(IF($C$24=0,0,M13/$C$24)+IF($C$25=0,0,N13/$C$25))/2*100</f>
        <v>83.3333333333333</v>
      </c>
      <c r="P13" s="10" t="n">
        <f aca="false">$K$183</f>
        <v>1</v>
      </c>
      <c r="Q13" s="11" t="n">
        <f aca="false">IF($C$26=0,0,P13/$C$26*100)</f>
        <v>20</v>
      </c>
      <c r="R13" s="11" t="n">
        <f aca="false">(O13+Q13)/2</f>
        <v>51.6666666666667</v>
      </c>
      <c r="S13" s="12" t="n">
        <f aca="false">ROUND(R13,0)</f>
        <v>52</v>
      </c>
      <c r="T13" s="13" t="n">
        <f aca="false">ROUND((L13+S13)/2,0)</f>
        <v>42</v>
      </c>
      <c r="U13" s="14" t="n">
        <v>32</v>
      </c>
      <c r="V13" s="14" t="n">
        <v>52</v>
      </c>
      <c r="W13" s="14" t="n">
        <v>42</v>
      </c>
      <c r="X13" s="9" t="str">
        <f aca="false">IF(W13="s/d","s/d",IF(ABS(T13-W13)&lt;=1,"✓","✗"))</f>
        <v>✓</v>
      </c>
    </row>
    <row r="14" customFormat="false" ht="15" hidden="false" customHeight="false" outlineLevel="0" collapsed="false">
      <c r="A14" s="9" t="s">
        <v>242</v>
      </c>
      <c r="B14" s="10" t="n">
        <f aca="false">COUNTIF('1 · BBDD 2025 (insumo)'!$A$2:$A$29,$A14)</f>
        <v>0</v>
      </c>
      <c r="C14" s="10" t="n">
        <f aca="false">$G$40</f>
        <v>0</v>
      </c>
      <c r="D14" s="11" t="n">
        <f aca="false">C14/5*100</f>
        <v>0</v>
      </c>
      <c r="E14" s="10" t="n">
        <f aca="false">$F$64</f>
        <v>0</v>
      </c>
      <c r="F14" s="11" t="n">
        <f aca="false">E14/4*100</f>
        <v>0</v>
      </c>
      <c r="G14" s="10" t="n">
        <f aca="false">$D$88</f>
        <v>0</v>
      </c>
      <c r="H14" s="11" t="n">
        <f aca="false">G14/2*100</f>
        <v>0</v>
      </c>
      <c r="I14" s="10" t="n">
        <f aca="false">$E$112</f>
        <v>0</v>
      </c>
      <c r="J14" s="11" t="n">
        <f aca="false">I14/3*100</f>
        <v>0</v>
      </c>
      <c r="K14" s="11" t="n">
        <f aca="false">(D14+F14+H14+J14)/4</f>
        <v>0</v>
      </c>
      <c r="L14" s="12" t="n">
        <f aca="false">ROUND(K14,0)</f>
        <v>0</v>
      </c>
      <c r="M14" s="10" t="n">
        <f aca="false">$F$136</f>
        <v>0</v>
      </c>
      <c r="N14" s="10" t="n">
        <f aca="false">$F$160</f>
        <v>0</v>
      </c>
      <c r="O14" s="11" t="n">
        <f aca="false">(IF($C$24=0,0,M14/$C$24)+IF($C$25=0,0,N14/$C$25))/2*100</f>
        <v>0</v>
      </c>
      <c r="P14" s="10" t="n">
        <f aca="false">$K$184</f>
        <v>0</v>
      </c>
      <c r="Q14" s="11" t="n">
        <f aca="false">IF($C$26=0,0,P14/$C$26*100)</f>
        <v>0</v>
      </c>
      <c r="R14" s="11" t="n">
        <f aca="false">(O14+Q14)/2</f>
        <v>0</v>
      </c>
      <c r="S14" s="12" t="n">
        <f aca="false">ROUND(R14,0)</f>
        <v>0</v>
      </c>
      <c r="T14" s="13" t="n">
        <f aca="false">ROUND((L14+S14)/2,0)</f>
        <v>0</v>
      </c>
      <c r="U14" s="14" t="n">
        <v>0</v>
      </c>
      <c r="V14" s="14" t="n">
        <v>0</v>
      </c>
      <c r="W14" s="14" t="n">
        <v>0</v>
      </c>
      <c r="X14" s="9" t="str">
        <f aca="false">IF(W14="s/d","s/d",IF(ABS(T14-W14)&lt;=1,"✓","✗"))</f>
        <v>✓</v>
      </c>
    </row>
    <row r="15" customFormat="false" ht="15" hidden="false" customHeight="false" outlineLevel="0" collapsed="false">
      <c r="A15" s="9" t="s">
        <v>190</v>
      </c>
      <c r="B15" s="10" t="n">
        <f aca="false">COUNTIF('1 · BBDD 2025 (insumo)'!$A$2:$A$29,$A15)</f>
        <v>2</v>
      </c>
      <c r="C15" s="10" t="n">
        <f aca="false">$G$41</f>
        <v>2</v>
      </c>
      <c r="D15" s="11" t="n">
        <f aca="false">C15/5*100</f>
        <v>40</v>
      </c>
      <c r="E15" s="10" t="n">
        <f aca="false">$F$65</f>
        <v>1</v>
      </c>
      <c r="F15" s="11" t="n">
        <f aca="false">E15/4*100</f>
        <v>25</v>
      </c>
      <c r="G15" s="10" t="n">
        <f aca="false">$D$89</f>
        <v>2</v>
      </c>
      <c r="H15" s="11" t="n">
        <f aca="false">G15/2*100</f>
        <v>100</v>
      </c>
      <c r="I15" s="10" t="n">
        <f aca="false">$E$113</f>
        <v>2</v>
      </c>
      <c r="J15" s="11" t="n">
        <f aca="false">I15/3*100</f>
        <v>66.6666666666667</v>
      </c>
      <c r="K15" s="11" t="n">
        <f aca="false">(D15+F15+H15+J15)/4</f>
        <v>57.9166666666667</v>
      </c>
      <c r="L15" s="12" t="n">
        <f aca="false">ROUND(K15,0)</f>
        <v>58</v>
      </c>
      <c r="M15" s="10" t="n">
        <f aca="false">$F$137</f>
        <v>2</v>
      </c>
      <c r="N15" s="10" t="n">
        <f aca="false">$F$161</f>
        <v>0</v>
      </c>
      <c r="O15" s="11" t="n">
        <f aca="false">(IF($C$24=0,0,M15/$C$24)+IF($C$25=0,0,N15/$C$25))/2*100</f>
        <v>33.3333333333333</v>
      </c>
      <c r="P15" s="10" t="n">
        <f aca="false">$K$185</f>
        <v>2</v>
      </c>
      <c r="Q15" s="11" t="n">
        <f aca="false">IF($C$26=0,0,P15/$C$26*100)</f>
        <v>40</v>
      </c>
      <c r="R15" s="11" t="n">
        <f aca="false">(O15+Q15)/2</f>
        <v>36.6666666666667</v>
      </c>
      <c r="S15" s="12" t="n">
        <f aca="false">ROUND(R15,0)</f>
        <v>37</v>
      </c>
      <c r="T15" s="13" t="n">
        <f aca="false">ROUND((L15+S15)/2,0)</f>
        <v>48</v>
      </c>
      <c r="U15" s="14" t="n">
        <v>58</v>
      </c>
      <c r="V15" s="14" t="n">
        <v>37</v>
      </c>
      <c r="W15" s="14" t="n">
        <v>47</v>
      </c>
      <c r="X15" s="9" t="str">
        <f aca="false">IF(W15="s/d","s/d",IF(ABS(T15-W15)&lt;=1,"✓","✗"))</f>
        <v>✓</v>
      </c>
    </row>
    <row r="16" customFormat="false" ht="15" hidden="false" customHeight="false" outlineLevel="0" collapsed="false">
      <c r="A16" s="9" t="s">
        <v>243</v>
      </c>
      <c r="B16" s="10" t="n">
        <f aca="false">COUNTIF('1 · BBDD 2025 (insumo)'!$A$2:$A$29,$A16)</f>
        <v>0</v>
      </c>
      <c r="C16" s="10" t="n">
        <f aca="false">$G$42</f>
        <v>0</v>
      </c>
      <c r="D16" s="11" t="n">
        <f aca="false">C16/5*100</f>
        <v>0</v>
      </c>
      <c r="E16" s="10" t="n">
        <f aca="false">$F$66</f>
        <v>0</v>
      </c>
      <c r="F16" s="11" t="n">
        <f aca="false">E16/4*100</f>
        <v>0</v>
      </c>
      <c r="G16" s="10" t="n">
        <f aca="false">$D$90</f>
        <v>0</v>
      </c>
      <c r="H16" s="11" t="n">
        <f aca="false">G16/2*100</f>
        <v>0</v>
      </c>
      <c r="I16" s="10" t="n">
        <f aca="false">$E$114</f>
        <v>0</v>
      </c>
      <c r="J16" s="11" t="n">
        <f aca="false">I16/3*100</f>
        <v>0</v>
      </c>
      <c r="K16" s="11" t="n">
        <f aca="false">(D16+F16+H16+J16)/4</f>
        <v>0</v>
      </c>
      <c r="L16" s="12" t="n">
        <f aca="false">ROUND(K16,0)</f>
        <v>0</v>
      </c>
      <c r="M16" s="10" t="n">
        <f aca="false">$F$138</f>
        <v>0</v>
      </c>
      <c r="N16" s="10" t="n">
        <f aca="false">$F$162</f>
        <v>0</v>
      </c>
      <c r="O16" s="11" t="n">
        <f aca="false">(IF($C$24=0,0,M16/$C$24)+IF($C$25=0,0,N16/$C$25))/2*100</f>
        <v>0</v>
      </c>
      <c r="P16" s="10" t="n">
        <f aca="false">$K$186</f>
        <v>0</v>
      </c>
      <c r="Q16" s="11" t="n">
        <f aca="false">IF($C$26=0,0,P16/$C$26*100)</f>
        <v>0</v>
      </c>
      <c r="R16" s="11" t="n">
        <f aca="false">(O16+Q16)/2</f>
        <v>0</v>
      </c>
      <c r="S16" s="12" t="n">
        <f aca="false">ROUND(R16,0)</f>
        <v>0</v>
      </c>
      <c r="T16" s="13" t="n">
        <f aca="false">ROUND((L16+S16)/2,0)</f>
        <v>0</v>
      </c>
      <c r="U16" s="14" t="n">
        <v>0</v>
      </c>
      <c r="V16" s="14" t="n">
        <v>0</v>
      </c>
      <c r="W16" s="14" t="n">
        <v>0</v>
      </c>
      <c r="X16" s="9" t="str">
        <f aca="false">IF(W16="s/d","s/d",IF(ABS(T16-W16)&lt;=1,"✓","✗"))</f>
        <v>✓</v>
      </c>
    </row>
    <row r="17" customFormat="false" ht="15" hidden="false" customHeight="false" outlineLevel="0" collapsed="false">
      <c r="A17" s="9" t="s">
        <v>200</v>
      </c>
      <c r="B17" s="10" t="n">
        <f aca="false">COUNTIF('1 · BBDD 2025 (insumo)'!$A$2:$A$29,$A17)</f>
        <v>2</v>
      </c>
      <c r="C17" s="10" t="n">
        <f aca="false">$G$43</f>
        <v>2</v>
      </c>
      <c r="D17" s="11" t="n">
        <f aca="false">C17/5*100</f>
        <v>40</v>
      </c>
      <c r="E17" s="10" t="n">
        <f aca="false">$F$67</f>
        <v>2</v>
      </c>
      <c r="F17" s="11" t="n">
        <f aca="false">E17/4*100</f>
        <v>50</v>
      </c>
      <c r="G17" s="10" t="n">
        <f aca="false">$D$91</f>
        <v>2</v>
      </c>
      <c r="H17" s="11" t="n">
        <f aca="false">G17/2*100</f>
        <v>100</v>
      </c>
      <c r="I17" s="10" t="n">
        <f aca="false">$E$115</f>
        <v>1</v>
      </c>
      <c r="J17" s="11" t="n">
        <f aca="false">I17/3*100</f>
        <v>33.3333333333333</v>
      </c>
      <c r="K17" s="11" t="n">
        <f aca="false">(D17+F17+H17+J17)/4</f>
        <v>55.8333333333333</v>
      </c>
      <c r="L17" s="12" t="n">
        <f aca="false">ROUND(K17,0)</f>
        <v>56</v>
      </c>
      <c r="M17" s="10" t="n">
        <f aca="false">$F$139</f>
        <v>1</v>
      </c>
      <c r="N17" s="10" t="n">
        <f aca="false">$F$163</f>
        <v>1</v>
      </c>
      <c r="O17" s="11" t="n">
        <f aca="false">(IF($C$24=0,0,M17/$C$24)+IF($C$25=0,0,N17/$C$25))/2*100</f>
        <v>41.6666666666667</v>
      </c>
      <c r="P17" s="10" t="n">
        <f aca="false">$K$187</f>
        <v>3</v>
      </c>
      <c r="Q17" s="11" t="n">
        <f aca="false">IF($C$26=0,0,P17/$C$26*100)</f>
        <v>60</v>
      </c>
      <c r="R17" s="11" t="n">
        <f aca="false">(O17+Q17)/2</f>
        <v>50.8333333333333</v>
      </c>
      <c r="S17" s="12" t="n">
        <f aca="false">ROUND(R17,0)</f>
        <v>51</v>
      </c>
      <c r="T17" s="13" t="n">
        <f aca="false">ROUND((L17+S17)/2,0)</f>
        <v>54</v>
      </c>
      <c r="U17" s="14" t="n">
        <v>56</v>
      </c>
      <c r="V17" s="14" t="n">
        <v>51</v>
      </c>
      <c r="W17" s="14" t="n">
        <v>53</v>
      </c>
      <c r="X17" s="9" t="str">
        <f aca="false">IF(W17="s/d","s/d",IF(ABS(T17-W17)&lt;=1,"✓","✗"))</f>
        <v>✓</v>
      </c>
    </row>
    <row r="18" customFormat="false" ht="15" hidden="false" customHeight="false" outlineLevel="0" collapsed="false">
      <c r="A18" s="9" t="s">
        <v>244</v>
      </c>
      <c r="B18" s="10" t="n">
        <f aca="false">COUNTIF('1 · BBDD 2025 (insumo)'!$A$2:$A$29,$A18)</f>
        <v>0</v>
      </c>
      <c r="C18" s="10" t="n">
        <f aca="false">$G$44</f>
        <v>0</v>
      </c>
      <c r="D18" s="11" t="n">
        <f aca="false">C18/5*100</f>
        <v>0</v>
      </c>
      <c r="E18" s="10" t="n">
        <f aca="false">$F$68</f>
        <v>0</v>
      </c>
      <c r="F18" s="11" t="n">
        <f aca="false">E18/4*100</f>
        <v>0</v>
      </c>
      <c r="G18" s="10" t="n">
        <f aca="false">$D$92</f>
        <v>0</v>
      </c>
      <c r="H18" s="11" t="n">
        <f aca="false">G18/2*100</f>
        <v>0</v>
      </c>
      <c r="I18" s="10" t="n">
        <f aca="false">$E$116</f>
        <v>0</v>
      </c>
      <c r="J18" s="11" t="n">
        <f aca="false">I18/3*100</f>
        <v>0</v>
      </c>
      <c r="K18" s="11" t="n">
        <f aca="false">(D18+F18+H18+J18)/4</f>
        <v>0</v>
      </c>
      <c r="L18" s="12" t="n">
        <f aca="false">ROUND(K18,0)</f>
        <v>0</v>
      </c>
      <c r="M18" s="10" t="n">
        <f aca="false">$F$140</f>
        <v>0</v>
      </c>
      <c r="N18" s="10" t="n">
        <f aca="false">$F$164</f>
        <v>0</v>
      </c>
      <c r="O18" s="11" t="n">
        <f aca="false">(IF($C$24=0,0,M18/$C$24)+IF($C$25=0,0,N18/$C$25))/2*100</f>
        <v>0</v>
      </c>
      <c r="P18" s="10" t="n">
        <f aca="false">$K$188</f>
        <v>0</v>
      </c>
      <c r="Q18" s="11" t="n">
        <f aca="false">IF($C$26=0,0,P18/$C$26*100)</f>
        <v>0</v>
      </c>
      <c r="R18" s="11" t="n">
        <f aca="false">(O18+Q18)/2</f>
        <v>0</v>
      </c>
      <c r="S18" s="12" t="n">
        <f aca="false">ROUND(R18,0)</f>
        <v>0</v>
      </c>
      <c r="T18" s="13" t="n">
        <f aca="false">ROUND((L18+S18)/2,0)</f>
        <v>0</v>
      </c>
      <c r="U18" s="14" t="n">
        <v>0</v>
      </c>
      <c r="V18" s="14" t="n">
        <v>0</v>
      </c>
      <c r="W18" s="14" t="n">
        <v>0</v>
      </c>
      <c r="X18" s="9" t="str">
        <f aca="false">IF(W18="s/d","s/d",IF(ABS(T18-W18)&lt;=1,"✓","✗"))</f>
        <v>✓</v>
      </c>
    </row>
    <row r="19" customFormat="false" ht="15" hidden="false" customHeight="false" outlineLevel="0" collapsed="false">
      <c r="A19" s="9" t="s">
        <v>245</v>
      </c>
      <c r="B19" s="10" t="n">
        <f aca="false">COUNTIF('1 · BBDD 2025 (insumo)'!$A$2:$A$29,$A19)</f>
        <v>0</v>
      </c>
      <c r="C19" s="10" t="n">
        <f aca="false">$G$45</f>
        <v>0</v>
      </c>
      <c r="D19" s="11" t="n">
        <f aca="false">C19/5*100</f>
        <v>0</v>
      </c>
      <c r="E19" s="10" t="n">
        <f aca="false">$F$69</f>
        <v>0</v>
      </c>
      <c r="F19" s="11" t="n">
        <f aca="false">E19/4*100</f>
        <v>0</v>
      </c>
      <c r="G19" s="10" t="n">
        <f aca="false">$D$93</f>
        <v>0</v>
      </c>
      <c r="H19" s="11" t="n">
        <f aca="false">G19/2*100</f>
        <v>0</v>
      </c>
      <c r="I19" s="10" t="n">
        <f aca="false">$E$117</f>
        <v>0</v>
      </c>
      <c r="J19" s="11" t="n">
        <f aca="false">I19/3*100</f>
        <v>0</v>
      </c>
      <c r="K19" s="11" t="n">
        <f aca="false">(D19+F19+H19+J19)/4</f>
        <v>0</v>
      </c>
      <c r="L19" s="12" t="n">
        <f aca="false">ROUND(K19,0)</f>
        <v>0</v>
      </c>
      <c r="M19" s="10" t="n">
        <f aca="false">$F$141</f>
        <v>0</v>
      </c>
      <c r="N19" s="10" t="n">
        <f aca="false">$F$165</f>
        <v>0</v>
      </c>
      <c r="O19" s="11" t="n">
        <f aca="false">(IF($C$24=0,0,M19/$C$24)+IF($C$25=0,0,N19/$C$25))/2*100</f>
        <v>0</v>
      </c>
      <c r="P19" s="10" t="n">
        <f aca="false">$K$189</f>
        <v>0</v>
      </c>
      <c r="Q19" s="11" t="n">
        <f aca="false">IF($C$26=0,0,P19/$C$26*100)</f>
        <v>0</v>
      </c>
      <c r="R19" s="11" t="n">
        <f aca="false">(O19+Q19)/2</f>
        <v>0</v>
      </c>
      <c r="S19" s="12" t="n">
        <f aca="false">ROUND(R19,0)</f>
        <v>0</v>
      </c>
      <c r="T19" s="13" t="n">
        <f aca="false">ROUND((L19+S19)/2,0)</f>
        <v>0</v>
      </c>
      <c r="U19" s="14" t="n">
        <v>0</v>
      </c>
      <c r="V19" s="14" t="n">
        <v>0</v>
      </c>
      <c r="W19" s="14" t="n">
        <v>0</v>
      </c>
      <c r="X19" s="9" t="str">
        <f aca="false">IF(W19="s/d","s/d",IF(ABS(T19-W19)&lt;=1,"✓","✗"))</f>
        <v>✓</v>
      </c>
    </row>
    <row r="20" customFormat="false" ht="15" hidden="false" customHeight="false" outlineLevel="0" collapsed="false">
      <c r="A20" s="9" t="s">
        <v>246</v>
      </c>
      <c r="B20" s="10" t="n">
        <f aca="false">COUNTIF('1 · BBDD 2025 (insumo)'!$A$2:$A$29,$A20)</f>
        <v>0</v>
      </c>
      <c r="C20" s="10" t="n">
        <f aca="false">$G$46</f>
        <v>0</v>
      </c>
      <c r="D20" s="11" t="n">
        <f aca="false">C20/5*100</f>
        <v>0</v>
      </c>
      <c r="E20" s="10" t="n">
        <f aca="false">$F$70</f>
        <v>0</v>
      </c>
      <c r="F20" s="11" t="n">
        <f aca="false">E20/4*100</f>
        <v>0</v>
      </c>
      <c r="G20" s="10" t="n">
        <f aca="false">$D$94</f>
        <v>0</v>
      </c>
      <c r="H20" s="11" t="n">
        <f aca="false">G20/2*100</f>
        <v>0</v>
      </c>
      <c r="I20" s="10" t="n">
        <f aca="false">$E$118</f>
        <v>0</v>
      </c>
      <c r="J20" s="11" t="n">
        <f aca="false">I20/3*100</f>
        <v>0</v>
      </c>
      <c r="K20" s="11" t="n">
        <f aca="false">(D20+F20+H20+J20)/4</f>
        <v>0</v>
      </c>
      <c r="L20" s="12" t="n">
        <f aca="false">ROUND(K20,0)</f>
        <v>0</v>
      </c>
      <c r="M20" s="10" t="n">
        <f aca="false">$F$142</f>
        <v>0</v>
      </c>
      <c r="N20" s="10" t="n">
        <f aca="false">$F$166</f>
        <v>0</v>
      </c>
      <c r="O20" s="11" t="n">
        <f aca="false">(IF($C$24=0,0,M20/$C$24)+IF($C$25=0,0,N20/$C$25))/2*100</f>
        <v>0</v>
      </c>
      <c r="P20" s="10" t="n">
        <f aca="false">$K$190</f>
        <v>0</v>
      </c>
      <c r="Q20" s="11" t="n">
        <f aca="false">IF($C$26=0,0,P20/$C$26*100)</f>
        <v>0</v>
      </c>
      <c r="R20" s="11" t="n">
        <f aca="false">(O20+Q20)/2</f>
        <v>0</v>
      </c>
      <c r="S20" s="12" t="n">
        <f aca="false">ROUND(R20,0)</f>
        <v>0</v>
      </c>
      <c r="T20" s="13" t="n">
        <f aca="false">ROUND((L20+S20)/2,0)</f>
        <v>0</v>
      </c>
      <c r="U20" s="14" t="s">
        <v>247</v>
      </c>
      <c r="V20" s="14" t="s">
        <v>247</v>
      </c>
      <c r="W20" s="14" t="s">
        <v>247</v>
      </c>
      <c r="X20" s="9" t="str">
        <f aca="false">IF(W20="s/d","s/d",IF(ABS(T20-W20)&lt;=1,"✓","✗"))</f>
        <v>s/d</v>
      </c>
    </row>
    <row r="21" customFormat="false" ht="15" hidden="false" customHeight="false" outlineLevel="0" collapsed="false">
      <c r="A21" s="9" t="s">
        <v>248</v>
      </c>
      <c r="B21" s="10" t="n">
        <f aca="false">COUNTIF('1 · BBDD 2025 (insumo)'!$A$2:$A$29,$A21)</f>
        <v>0</v>
      </c>
      <c r="C21" s="10" t="n">
        <f aca="false">$G$47</f>
        <v>0</v>
      </c>
      <c r="D21" s="11" t="n">
        <f aca="false">C21/5*100</f>
        <v>0</v>
      </c>
      <c r="E21" s="10" t="n">
        <f aca="false">$F$71</f>
        <v>0</v>
      </c>
      <c r="F21" s="11" t="n">
        <f aca="false">E21/4*100</f>
        <v>0</v>
      </c>
      <c r="G21" s="10" t="n">
        <f aca="false">$D$95</f>
        <v>0</v>
      </c>
      <c r="H21" s="11" t="n">
        <f aca="false">G21/2*100</f>
        <v>0</v>
      </c>
      <c r="I21" s="10" t="n">
        <f aca="false">$E$119</f>
        <v>0</v>
      </c>
      <c r="J21" s="11" t="n">
        <f aca="false">I21/3*100</f>
        <v>0</v>
      </c>
      <c r="K21" s="11" t="n">
        <f aca="false">(D21+F21+H21+J21)/4</f>
        <v>0</v>
      </c>
      <c r="L21" s="12" t="n">
        <f aca="false">ROUND(K21,0)</f>
        <v>0</v>
      </c>
      <c r="M21" s="10" t="n">
        <f aca="false">$F$143</f>
        <v>0</v>
      </c>
      <c r="N21" s="10" t="n">
        <f aca="false">$F$167</f>
        <v>0</v>
      </c>
      <c r="O21" s="11" t="n">
        <f aca="false">(IF($C$24=0,0,M21/$C$24)+IF($C$25=0,0,N21/$C$25))/2*100</f>
        <v>0</v>
      </c>
      <c r="P21" s="10" t="n">
        <f aca="false">$K$191</f>
        <v>0</v>
      </c>
      <c r="Q21" s="11" t="n">
        <f aca="false">IF($C$26=0,0,P21/$C$26*100)</f>
        <v>0</v>
      </c>
      <c r="R21" s="11" t="n">
        <f aca="false">(O21+Q21)/2</f>
        <v>0</v>
      </c>
      <c r="S21" s="12" t="n">
        <f aca="false">ROUND(R21,0)</f>
        <v>0</v>
      </c>
      <c r="T21" s="13" t="n">
        <f aca="false">ROUND((L21+S21)/2,0)</f>
        <v>0</v>
      </c>
      <c r="U21" s="14" t="n">
        <v>0</v>
      </c>
      <c r="V21" s="14" t="n">
        <v>0</v>
      </c>
      <c r="W21" s="14" t="n">
        <v>0</v>
      </c>
      <c r="X21" s="9" t="str">
        <f aca="false">IF(W21="s/d","s/d",IF(ABS(T21-W21)&lt;=1,"✓","✗"))</f>
        <v>✓</v>
      </c>
    </row>
    <row r="22" customFormat="false" ht="15" hidden="false" customHeight="false" outlineLevel="0" collapsed="false">
      <c r="A22" s="9" t="s">
        <v>249</v>
      </c>
      <c r="B22" s="10" t="n">
        <f aca="false">COUNTIF('1 · BBDD 2025 (insumo)'!$A$2:$A$29,$A22)</f>
        <v>0</v>
      </c>
      <c r="C22" s="10" t="n">
        <f aca="false">$G$48</f>
        <v>0</v>
      </c>
      <c r="D22" s="11" t="n">
        <f aca="false">C22/5*100</f>
        <v>0</v>
      </c>
      <c r="E22" s="10" t="n">
        <f aca="false">$F$72</f>
        <v>0</v>
      </c>
      <c r="F22" s="11" t="n">
        <f aca="false">E22/4*100</f>
        <v>0</v>
      </c>
      <c r="G22" s="10" t="n">
        <f aca="false">$D$96</f>
        <v>0</v>
      </c>
      <c r="H22" s="11" t="n">
        <f aca="false">G22/2*100</f>
        <v>0</v>
      </c>
      <c r="I22" s="10" t="n">
        <f aca="false">$E$120</f>
        <v>0</v>
      </c>
      <c r="J22" s="11" t="n">
        <f aca="false">I22/3*100</f>
        <v>0</v>
      </c>
      <c r="K22" s="11" t="n">
        <f aca="false">(D22+F22+H22+J22)/4</f>
        <v>0</v>
      </c>
      <c r="L22" s="12" t="n">
        <f aca="false">ROUND(K22,0)</f>
        <v>0</v>
      </c>
      <c r="M22" s="10" t="n">
        <f aca="false">$F$144</f>
        <v>0</v>
      </c>
      <c r="N22" s="10" t="n">
        <f aca="false">$F$168</f>
        <v>0</v>
      </c>
      <c r="O22" s="11" t="n">
        <f aca="false">(IF($C$24=0,0,M22/$C$24)+IF($C$25=0,0,N22/$C$25))/2*100</f>
        <v>0</v>
      </c>
      <c r="P22" s="10" t="n">
        <f aca="false">$K$192</f>
        <v>0</v>
      </c>
      <c r="Q22" s="11" t="n">
        <f aca="false">IF($C$26=0,0,P22/$C$26*100)</f>
        <v>0</v>
      </c>
      <c r="R22" s="11" t="n">
        <f aca="false">(O22+Q22)/2</f>
        <v>0</v>
      </c>
      <c r="S22" s="12" t="n">
        <f aca="false">ROUND(R22,0)</f>
        <v>0</v>
      </c>
      <c r="T22" s="13" t="n">
        <f aca="false">ROUND((L22+S22)/2,0)</f>
        <v>0</v>
      </c>
      <c r="U22" s="14" t="n">
        <v>0</v>
      </c>
      <c r="V22" s="14" t="n">
        <v>0</v>
      </c>
      <c r="W22" s="14" t="n">
        <v>0</v>
      </c>
      <c r="X22" s="9" t="str">
        <f aca="false">IF(W22="s/d","s/d",IF(ABS(T22-W22)&lt;=1,"✓","✗"))</f>
        <v>✓</v>
      </c>
    </row>
    <row r="23" customFormat="false" ht="15" hidden="false" customHeight="false" outlineLevel="0" collapsed="false">
      <c r="A23" s="8" t="s">
        <v>250</v>
      </c>
    </row>
    <row r="24" customFormat="false" ht="15" hidden="false" customHeight="false" outlineLevel="0" collapsed="false">
      <c r="A24" s="15" t="s">
        <v>251</v>
      </c>
      <c r="C24" s="16" t="n">
        <f aca="false">MAX(M3:M22)</f>
        <v>3</v>
      </c>
    </row>
    <row r="25" customFormat="false" ht="15" hidden="false" customHeight="false" outlineLevel="0" collapsed="false">
      <c r="A25" s="15" t="s">
        <v>252</v>
      </c>
      <c r="C25" s="16" t="n">
        <f aca="false">MAX(N3:N22)</f>
        <v>2</v>
      </c>
    </row>
    <row r="26" customFormat="false" ht="15" hidden="false" customHeight="false" outlineLevel="0" collapsed="false">
      <c r="A26" s="15" t="s">
        <v>253</v>
      </c>
      <c r="C26" s="16" t="n">
        <f aca="false">MAX(P3:P22)</f>
        <v>5</v>
      </c>
      <c r="E26" s="7" t="s">
        <v>254</v>
      </c>
      <c r="F26" s="7"/>
      <c r="G26" s="7"/>
      <c r="H26" s="7"/>
      <c r="I26" s="7"/>
      <c r="J26" s="7"/>
      <c r="K26" s="7"/>
      <c r="L26" s="7"/>
      <c r="M26" s="7"/>
      <c r="N26" s="7"/>
      <c r="O26" s="7"/>
      <c r="P26" s="7"/>
      <c r="Q26" s="7"/>
      <c r="R26" s="7"/>
      <c r="S26" s="7"/>
      <c r="T26" s="7"/>
    </row>
    <row r="27" customFormat="false" ht="15" hidden="false" customHeight="false" outlineLevel="0" collapsed="false">
      <c r="A27" s="8" t="s">
        <v>255</v>
      </c>
    </row>
    <row r="28" customFormat="false" ht="32.8" hidden="false" customHeight="false" outlineLevel="0" collapsed="false">
      <c r="A28" s="2" t="s">
        <v>0</v>
      </c>
      <c r="B28" s="2" t="s">
        <v>256</v>
      </c>
      <c r="C28" s="2" t="s">
        <v>257</v>
      </c>
      <c r="D28" s="2" t="s">
        <v>258</v>
      </c>
      <c r="E28" s="2" t="s">
        <v>259</v>
      </c>
      <c r="F28" s="2" t="s">
        <v>260</v>
      </c>
      <c r="G28" s="2" t="s">
        <v>261</v>
      </c>
    </row>
    <row r="29" customFormat="false" ht="15" hidden="false" customHeight="false" outlineLevel="0" collapsed="false">
      <c r="A29" s="17" t="s">
        <v>240</v>
      </c>
      <c r="B29" s="10" t="n">
        <f aca="false">IF(COUNTIFS('1 · BBDD 2025 (insumo)'!$A$2:$A$29,$A29,'1 · BBDD 2025 (insumo)'!$V$2:$V$29,1)&gt;0,1,0)</f>
        <v>0</v>
      </c>
      <c r="C29" s="10" t="n">
        <f aca="false">IF(COUNTIFS('1 · BBDD 2025 (insumo)'!$A$2:$A$29,$A29,'1 · BBDD 2025 (insumo)'!$W$2:$W$29,1)&gt;0,1,0)</f>
        <v>0</v>
      </c>
      <c r="D29" s="10" t="n">
        <f aca="false">IF(COUNTIFS('1 · BBDD 2025 (insumo)'!$A$2:$A$29,$A29,'1 · BBDD 2025 (insumo)'!$X$2:$X$29,1)&gt;0,1,0)</f>
        <v>0</v>
      </c>
      <c r="E29" s="10" t="n">
        <f aca="false">IF(COUNTIFS('1 · BBDD 2025 (insumo)'!$A$2:$A$29,$A29,'1 · BBDD 2025 (insumo)'!$Y$2:$Y$29,1)&gt;0,1,0)</f>
        <v>0</v>
      </c>
      <c r="F29" s="10" t="n">
        <f aca="false">IF(COUNTIFS('1 · BBDD 2025 (insumo)'!$A$2:$A$29,$A29,'1 · BBDD 2025 (insumo)'!$Z$2:$Z$29,1)&gt;0,1,0)</f>
        <v>0</v>
      </c>
      <c r="G29" s="12" t="n">
        <f aca="false">SUM(B29:F29)</f>
        <v>0</v>
      </c>
    </row>
    <row r="30" customFormat="false" ht="15" hidden="false" customHeight="false" outlineLevel="0" collapsed="false">
      <c r="A30" s="17" t="s">
        <v>51</v>
      </c>
      <c r="B30" s="10" t="n">
        <f aca="false">IF(COUNTIFS('1 · BBDD 2025 (insumo)'!$A$2:$A$29,$A30,'1 · BBDD 2025 (insumo)'!$V$2:$V$29,1)&gt;0,1,0)</f>
        <v>0</v>
      </c>
      <c r="C30" s="10" t="n">
        <f aca="false">IF(COUNTIFS('1 · BBDD 2025 (insumo)'!$A$2:$A$29,$A30,'1 · BBDD 2025 (insumo)'!$W$2:$W$29,1)&gt;0,1,0)</f>
        <v>1</v>
      </c>
      <c r="D30" s="10" t="n">
        <f aca="false">IF(COUNTIFS('1 · BBDD 2025 (insumo)'!$A$2:$A$29,$A30,'1 · BBDD 2025 (insumo)'!$X$2:$X$29,1)&gt;0,1,0)</f>
        <v>0</v>
      </c>
      <c r="E30" s="10" t="n">
        <f aca="false">IF(COUNTIFS('1 · BBDD 2025 (insumo)'!$A$2:$A$29,$A30,'1 · BBDD 2025 (insumo)'!$Y$2:$Y$29,1)&gt;0,1,0)</f>
        <v>0</v>
      </c>
      <c r="F30" s="10" t="n">
        <f aca="false">IF(COUNTIFS('1 · BBDD 2025 (insumo)'!$A$2:$A$29,$A30,'1 · BBDD 2025 (insumo)'!$Z$2:$Z$29,1)&gt;0,1,0)</f>
        <v>0</v>
      </c>
      <c r="G30" s="12" t="n">
        <f aca="false">SUM(B30:F30)</f>
        <v>1</v>
      </c>
    </row>
    <row r="31" customFormat="false" ht="15" hidden="false" customHeight="false" outlineLevel="0" collapsed="false">
      <c r="A31" s="17" t="s">
        <v>63</v>
      </c>
      <c r="B31" s="10" t="n">
        <f aca="false">IF(COUNTIFS('1 · BBDD 2025 (insumo)'!$A$2:$A$29,$A31,'1 · BBDD 2025 (insumo)'!$V$2:$V$29,1)&gt;0,1,0)</f>
        <v>0</v>
      </c>
      <c r="C31" s="10" t="n">
        <f aca="false">IF(COUNTIFS('1 · BBDD 2025 (insumo)'!$A$2:$A$29,$A31,'1 · BBDD 2025 (insumo)'!$W$2:$W$29,1)&gt;0,1,0)</f>
        <v>1</v>
      </c>
      <c r="D31" s="10" t="n">
        <f aca="false">IF(COUNTIFS('1 · BBDD 2025 (insumo)'!$A$2:$A$29,$A31,'1 · BBDD 2025 (insumo)'!$X$2:$X$29,1)&gt;0,1,0)</f>
        <v>0</v>
      </c>
      <c r="E31" s="10" t="n">
        <f aca="false">IF(COUNTIFS('1 · BBDD 2025 (insumo)'!$A$2:$A$29,$A31,'1 · BBDD 2025 (insumo)'!$Y$2:$Y$29,1)&gt;0,1,0)</f>
        <v>0</v>
      </c>
      <c r="F31" s="10" t="n">
        <f aca="false">IF(COUNTIFS('1 · BBDD 2025 (insumo)'!$A$2:$A$29,$A31,'1 · BBDD 2025 (insumo)'!$Z$2:$Z$29,1)&gt;0,1,0)</f>
        <v>0</v>
      </c>
      <c r="G31" s="12" t="n">
        <f aca="false">SUM(B31:F31)</f>
        <v>1</v>
      </c>
    </row>
    <row r="32" customFormat="false" ht="15" hidden="false" customHeight="false" outlineLevel="0" collapsed="false">
      <c r="A32" s="17" t="s">
        <v>96</v>
      </c>
      <c r="B32" s="10" t="n">
        <f aca="false">IF(COUNTIFS('1 · BBDD 2025 (insumo)'!$A$2:$A$29,$A32,'1 · BBDD 2025 (insumo)'!$V$2:$V$29,1)&gt;0,1,0)</f>
        <v>0</v>
      </c>
      <c r="C32" s="10" t="n">
        <f aca="false">IF(COUNTIFS('1 · BBDD 2025 (insumo)'!$A$2:$A$29,$A32,'1 · BBDD 2025 (insumo)'!$W$2:$W$29,1)&gt;0,1,0)</f>
        <v>1</v>
      </c>
      <c r="D32" s="10" t="n">
        <f aca="false">IF(COUNTIFS('1 · BBDD 2025 (insumo)'!$A$2:$A$29,$A32,'1 · BBDD 2025 (insumo)'!$X$2:$X$29,1)&gt;0,1,0)</f>
        <v>0</v>
      </c>
      <c r="E32" s="10" t="n">
        <f aca="false">IF(COUNTIFS('1 · BBDD 2025 (insumo)'!$A$2:$A$29,$A32,'1 · BBDD 2025 (insumo)'!$Y$2:$Y$29,1)&gt;0,1,0)</f>
        <v>0</v>
      </c>
      <c r="F32" s="10" t="n">
        <f aca="false">IF(COUNTIFS('1 · BBDD 2025 (insumo)'!$A$2:$A$29,$A32,'1 · BBDD 2025 (insumo)'!$Z$2:$Z$29,1)&gt;0,1,0)</f>
        <v>0</v>
      </c>
      <c r="G32" s="12" t="n">
        <f aca="false">SUM(B32:F32)</f>
        <v>1</v>
      </c>
    </row>
    <row r="33" customFormat="false" ht="15" hidden="false" customHeight="false" outlineLevel="0" collapsed="false">
      <c r="A33" s="17" t="s">
        <v>128</v>
      </c>
      <c r="B33" s="10" t="n">
        <f aca="false">IF(COUNTIFS('1 · BBDD 2025 (insumo)'!$A$2:$A$29,$A33,'1 · BBDD 2025 (insumo)'!$V$2:$V$29,1)&gt;0,1,0)</f>
        <v>0</v>
      </c>
      <c r="C33" s="10" t="n">
        <f aca="false">IF(COUNTIFS('1 · BBDD 2025 (insumo)'!$A$2:$A$29,$A33,'1 · BBDD 2025 (insumo)'!$W$2:$W$29,1)&gt;0,1,0)</f>
        <v>1</v>
      </c>
      <c r="D33" s="10" t="n">
        <f aca="false">IF(COUNTIFS('1 · BBDD 2025 (insumo)'!$A$2:$A$29,$A33,'1 · BBDD 2025 (insumo)'!$X$2:$X$29,1)&gt;0,1,0)</f>
        <v>0</v>
      </c>
      <c r="E33" s="10" t="n">
        <f aca="false">IF(COUNTIFS('1 · BBDD 2025 (insumo)'!$A$2:$A$29,$A33,'1 · BBDD 2025 (insumo)'!$Y$2:$Y$29,1)&gt;0,1,0)</f>
        <v>1</v>
      </c>
      <c r="F33" s="10" t="n">
        <f aca="false">IF(COUNTIFS('1 · BBDD 2025 (insumo)'!$A$2:$A$29,$A33,'1 · BBDD 2025 (insumo)'!$Z$2:$Z$29,1)&gt;0,1,0)</f>
        <v>1</v>
      </c>
      <c r="G33" s="12" t="n">
        <f aca="false">SUM(B33:F33)</f>
        <v>3</v>
      </c>
    </row>
    <row r="34" customFormat="false" ht="15" hidden="false" customHeight="false" outlineLevel="0" collapsed="false">
      <c r="A34" s="17" t="s">
        <v>151</v>
      </c>
      <c r="B34" s="10" t="n">
        <f aca="false">IF(COUNTIFS('1 · BBDD 2025 (insumo)'!$A$2:$A$29,$A34,'1 · BBDD 2025 (insumo)'!$V$2:$V$29,1)&gt;0,1,0)</f>
        <v>1</v>
      </c>
      <c r="C34" s="10" t="n">
        <f aca="false">IF(COUNTIFS('1 · BBDD 2025 (insumo)'!$A$2:$A$29,$A34,'1 · BBDD 2025 (insumo)'!$W$2:$W$29,1)&gt;0,1,0)</f>
        <v>0</v>
      </c>
      <c r="D34" s="10" t="n">
        <f aca="false">IF(COUNTIFS('1 · BBDD 2025 (insumo)'!$A$2:$A$29,$A34,'1 · BBDD 2025 (insumo)'!$X$2:$X$29,1)&gt;0,1,0)</f>
        <v>0</v>
      </c>
      <c r="E34" s="10" t="n">
        <f aca="false">IF(COUNTIFS('1 · BBDD 2025 (insumo)'!$A$2:$A$29,$A34,'1 · BBDD 2025 (insumo)'!$Y$2:$Y$29,1)&gt;0,1,0)</f>
        <v>0</v>
      </c>
      <c r="F34" s="10" t="n">
        <f aca="false">IF(COUNTIFS('1 · BBDD 2025 (insumo)'!$A$2:$A$29,$A34,'1 · BBDD 2025 (insumo)'!$Z$2:$Z$29,1)&gt;0,1,0)</f>
        <v>0</v>
      </c>
      <c r="G34" s="12" t="n">
        <f aca="false">SUM(B34:F34)</f>
        <v>1</v>
      </c>
    </row>
    <row r="35" customFormat="false" ht="15" hidden="false" customHeight="false" outlineLevel="0" collapsed="false">
      <c r="A35" s="17" t="s">
        <v>241</v>
      </c>
      <c r="B35" s="10" t="n">
        <f aca="false">IF(COUNTIFS('1 · BBDD 2025 (insumo)'!$A$2:$A$29,$A35,'1 · BBDD 2025 (insumo)'!$V$2:$V$29,1)&gt;0,1,0)</f>
        <v>0</v>
      </c>
      <c r="C35" s="10" t="n">
        <f aca="false">IF(COUNTIFS('1 · BBDD 2025 (insumo)'!$A$2:$A$29,$A35,'1 · BBDD 2025 (insumo)'!$W$2:$W$29,1)&gt;0,1,0)</f>
        <v>0</v>
      </c>
      <c r="D35" s="10" t="n">
        <f aca="false">IF(COUNTIFS('1 · BBDD 2025 (insumo)'!$A$2:$A$29,$A35,'1 · BBDD 2025 (insumo)'!$X$2:$X$29,1)&gt;0,1,0)</f>
        <v>0</v>
      </c>
      <c r="E35" s="10" t="n">
        <f aca="false">IF(COUNTIFS('1 · BBDD 2025 (insumo)'!$A$2:$A$29,$A35,'1 · BBDD 2025 (insumo)'!$Y$2:$Y$29,1)&gt;0,1,0)</f>
        <v>0</v>
      </c>
      <c r="F35" s="10" t="n">
        <f aca="false">IF(COUNTIFS('1 · BBDD 2025 (insumo)'!$A$2:$A$29,$A35,'1 · BBDD 2025 (insumo)'!$Z$2:$Z$29,1)&gt;0,1,0)</f>
        <v>0</v>
      </c>
      <c r="G35" s="12" t="n">
        <f aca="false">SUM(B35:F35)</f>
        <v>0</v>
      </c>
    </row>
    <row r="36" customFormat="false" ht="15" hidden="false" customHeight="false" outlineLevel="0" collapsed="false">
      <c r="A36" s="17" t="s">
        <v>163</v>
      </c>
      <c r="B36" s="10" t="n">
        <f aca="false">IF(COUNTIFS('1 · BBDD 2025 (insumo)'!$A$2:$A$29,$A36,'1 · BBDD 2025 (insumo)'!$V$2:$V$29,1)&gt;0,1,0)</f>
        <v>0</v>
      </c>
      <c r="C36" s="10" t="n">
        <f aca="false">IF(COUNTIFS('1 · BBDD 2025 (insumo)'!$A$2:$A$29,$A36,'1 · BBDD 2025 (insumo)'!$W$2:$W$29,1)&gt;0,1,0)</f>
        <v>1</v>
      </c>
      <c r="D36" s="10" t="n">
        <f aca="false">IF(COUNTIFS('1 · BBDD 2025 (insumo)'!$A$2:$A$29,$A36,'1 · BBDD 2025 (insumo)'!$X$2:$X$29,1)&gt;0,1,0)</f>
        <v>0</v>
      </c>
      <c r="E36" s="10" t="n">
        <f aca="false">IF(COUNTIFS('1 · BBDD 2025 (insumo)'!$A$2:$A$29,$A36,'1 · BBDD 2025 (insumo)'!$Y$2:$Y$29,1)&gt;0,1,0)</f>
        <v>0</v>
      </c>
      <c r="F36" s="10" t="n">
        <f aca="false">IF(COUNTIFS('1 · BBDD 2025 (insumo)'!$A$2:$A$29,$A36,'1 · BBDD 2025 (insumo)'!$Z$2:$Z$29,1)&gt;0,1,0)</f>
        <v>0</v>
      </c>
      <c r="G36" s="12" t="n">
        <f aca="false">SUM(B36:F36)</f>
        <v>1</v>
      </c>
    </row>
    <row r="37" customFormat="false" ht="15" hidden="false" customHeight="false" outlineLevel="0" collapsed="false">
      <c r="A37" s="17" t="s">
        <v>170</v>
      </c>
      <c r="B37" s="10" t="n">
        <f aca="false">IF(COUNTIFS('1 · BBDD 2025 (insumo)'!$A$2:$A$29,$A37,'1 · BBDD 2025 (insumo)'!$V$2:$V$29,1)&gt;0,1,0)</f>
        <v>0</v>
      </c>
      <c r="C37" s="10" t="n">
        <f aca="false">IF(COUNTIFS('1 · BBDD 2025 (insumo)'!$A$2:$A$29,$A37,'1 · BBDD 2025 (insumo)'!$W$2:$W$29,1)&gt;0,1,0)</f>
        <v>0</v>
      </c>
      <c r="D37" s="10" t="n">
        <f aca="false">IF(COUNTIFS('1 · BBDD 2025 (insumo)'!$A$2:$A$29,$A37,'1 · BBDD 2025 (insumo)'!$X$2:$X$29,1)&gt;0,1,0)</f>
        <v>0</v>
      </c>
      <c r="E37" s="10" t="n">
        <f aca="false">IF(COUNTIFS('1 · BBDD 2025 (insumo)'!$A$2:$A$29,$A37,'1 · BBDD 2025 (insumo)'!$Y$2:$Y$29,1)&gt;0,1,0)</f>
        <v>1</v>
      </c>
      <c r="F37" s="10" t="n">
        <f aca="false">IF(COUNTIFS('1 · BBDD 2025 (insumo)'!$A$2:$A$29,$A37,'1 · BBDD 2025 (insumo)'!$Z$2:$Z$29,1)&gt;0,1,0)</f>
        <v>0</v>
      </c>
      <c r="G37" s="12" t="n">
        <f aca="false">SUM(B37:F37)</f>
        <v>1</v>
      </c>
    </row>
    <row r="38" customFormat="false" ht="15" hidden="false" customHeight="false" outlineLevel="0" collapsed="false">
      <c r="A38" s="17" t="s">
        <v>177</v>
      </c>
      <c r="B38" s="10" t="n">
        <f aca="false">IF(COUNTIFS('1 · BBDD 2025 (insumo)'!$A$2:$A$29,$A38,'1 · BBDD 2025 (insumo)'!$V$2:$V$29,1)&gt;0,1,0)</f>
        <v>0</v>
      </c>
      <c r="C38" s="10" t="n">
        <f aca="false">IF(COUNTIFS('1 · BBDD 2025 (insumo)'!$A$2:$A$29,$A38,'1 · BBDD 2025 (insumo)'!$W$2:$W$29,1)&gt;0,1,0)</f>
        <v>1</v>
      </c>
      <c r="D38" s="10" t="n">
        <f aca="false">IF(COUNTIFS('1 · BBDD 2025 (insumo)'!$A$2:$A$29,$A38,'1 · BBDD 2025 (insumo)'!$X$2:$X$29,1)&gt;0,1,0)</f>
        <v>0</v>
      </c>
      <c r="E38" s="10" t="n">
        <f aca="false">IF(COUNTIFS('1 · BBDD 2025 (insumo)'!$A$2:$A$29,$A38,'1 · BBDD 2025 (insumo)'!$Y$2:$Y$29,1)&gt;0,1,0)</f>
        <v>0</v>
      </c>
      <c r="F38" s="10" t="n">
        <f aca="false">IF(COUNTIFS('1 · BBDD 2025 (insumo)'!$A$2:$A$29,$A38,'1 · BBDD 2025 (insumo)'!$Z$2:$Z$29,1)&gt;0,1,0)</f>
        <v>0</v>
      </c>
      <c r="G38" s="12" t="n">
        <f aca="false">SUM(B38:F38)</f>
        <v>1</v>
      </c>
    </row>
    <row r="39" customFormat="false" ht="15" hidden="false" customHeight="false" outlineLevel="0" collapsed="false">
      <c r="A39" s="17" t="s">
        <v>183</v>
      </c>
      <c r="B39" s="10" t="n">
        <f aca="false">IF(COUNTIFS('1 · BBDD 2025 (insumo)'!$A$2:$A$29,$A39,'1 · BBDD 2025 (insumo)'!$V$2:$V$29,1)&gt;0,1,0)</f>
        <v>0</v>
      </c>
      <c r="C39" s="10" t="n">
        <f aca="false">IF(COUNTIFS('1 · BBDD 2025 (insumo)'!$A$2:$A$29,$A39,'1 · BBDD 2025 (insumo)'!$W$2:$W$29,1)&gt;0,1,0)</f>
        <v>0</v>
      </c>
      <c r="D39" s="10" t="n">
        <f aca="false">IF(COUNTIFS('1 · BBDD 2025 (insumo)'!$A$2:$A$29,$A39,'1 · BBDD 2025 (insumo)'!$X$2:$X$29,1)&gt;0,1,0)</f>
        <v>0</v>
      </c>
      <c r="E39" s="10" t="n">
        <f aca="false">IF(COUNTIFS('1 · BBDD 2025 (insumo)'!$A$2:$A$29,$A39,'1 · BBDD 2025 (insumo)'!$Y$2:$Y$29,1)&gt;0,1,0)</f>
        <v>1</v>
      </c>
      <c r="F39" s="10" t="n">
        <f aca="false">IF(COUNTIFS('1 · BBDD 2025 (insumo)'!$A$2:$A$29,$A39,'1 · BBDD 2025 (insumo)'!$Z$2:$Z$29,1)&gt;0,1,0)</f>
        <v>0</v>
      </c>
      <c r="G39" s="12" t="n">
        <f aca="false">SUM(B39:F39)</f>
        <v>1</v>
      </c>
    </row>
    <row r="40" customFormat="false" ht="15" hidden="false" customHeight="false" outlineLevel="0" collapsed="false">
      <c r="A40" s="17" t="s">
        <v>242</v>
      </c>
      <c r="B40" s="10" t="n">
        <f aca="false">IF(COUNTIFS('1 · BBDD 2025 (insumo)'!$A$2:$A$29,$A40,'1 · BBDD 2025 (insumo)'!$V$2:$V$29,1)&gt;0,1,0)</f>
        <v>0</v>
      </c>
      <c r="C40" s="10" t="n">
        <f aca="false">IF(COUNTIFS('1 · BBDD 2025 (insumo)'!$A$2:$A$29,$A40,'1 · BBDD 2025 (insumo)'!$W$2:$W$29,1)&gt;0,1,0)</f>
        <v>0</v>
      </c>
      <c r="D40" s="10" t="n">
        <f aca="false">IF(COUNTIFS('1 · BBDD 2025 (insumo)'!$A$2:$A$29,$A40,'1 · BBDD 2025 (insumo)'!$X$2:$X$29,1)&gt;0,1,0)</f>
        <v>0</v>
      </c>
      <c r="E40" s="10" t="n">
        <f aca="false">IF(COUNTIFS('1 · BBDD 2025 (insumo)'!$A$2:$A$29,$A40,'1 · BBDD 2025 (insumo)'!$Y$2:$Y$29,1)&gt;0,1,0)</f>
        <v>0</v>
      </c>
      <c r="F40" s="10" t="n">
        <f aca="false">IF(COUNTIFS('1 · BBDD 2025 (insumo)'!$A$2:$A$29,$A40,'1 · BBDD 2025 (insumo)'!$Z$2:$Z$29,1)&gt;0,1,0)</f>
        <v>0</v>
      </c>
      <c r="G40" s="12" t="n">
        <f aca="false">SUM(B40:F40)</f>
        <v>0</v>
      </c>
    </row>
    <row r="41" customFormat="false" ht="15" hidden="false" customHeight="false" outlineLevel="0" collapsed="false">
      <c r="A41" s="17" t="s">
        <v>190</v>
      </c>
      <c r="B41" s="10" t="n">
        <f aca="false">IF(COUNTIFS('1 · BBDD 2025 (insumo)'!$A$2:$A$29,$A41,'1 · BBDD 2025 (insumo)'!$V$2:$V$29,1)&gt;0,1,0)</f>
        <v>0</v>
      </c>
      <c r="C41" s="10" t="n">
        <f aca="false">IF(COUNTIFS('1 · BBDD 2025 (insumo)'!$A$2:$A$29,$A41,'1 · BBDD 2025 (insumo)'!$W$2:$W$29,1)&gt;0,1,0)</f>
        <v>0</v>
      </c>
      <c r="D41" s="10" t="n">
        <f aca="false">IF(COUNTIFS('1 · BBDD 2025 (insumo)'!$A$2:$A$29,$A41,'1 · BBDD 2025 (insumo)'!$X$2:$X$29,1)&gt;0,1,0)</f>
        <v>0</v>
      </c>
      <c r="E41" s="10" t="n">
        <f aca="false">IF(COUNTIFS('1 · BBDD 2025 (insumo)'!$A$2:$A$29,$A41,'1 · BBDD 2025 (insumo)'!$Y$2:$Y$29,1)&gt;0,1,0)</f>
        <v>1</v>
      </c>
      <c r="F41" s="10" t="n">
        <f aca="false">IF(COUNTIFS('1 · BBDD 2025 (insumo)'!$A$2:$A$29,$A41,'1 · BBDD 2025 (insumo)'!$Z$2:$Z$29,1)&gt;0,1,0)</f>
        <v>1</v>
      </c>
      <c r="G41" s="12" t="n">
        <f aca="false">SUM(B41:F41)</f>
        <v>2</v>
      </c>
    </row>
    <row r="42" customFormat="false" ht="15" hidden="false" customHeight="false" outlineLevel="0" collapsed="false">
      <c r="A42" s="17" t="s">
        <v>243</v>
      </c>
      <c r="B42" s="10" t="n">
        <f aca="false">IF(COUNTIFS('1 · BBDD 2025 (insumo)'!$A$2:$A$29,$A42,'1 · BBDD 2025 (insumo)'!$V$2:$V$29,1)&gt;0,1,0)</f>
        <v>0</v>
      </c>
      <c r="C42" s="10" t="n">
        <f aca="false">IF(COUNTIFS('1 · BBDD 2025 (insumo)'!$A$2:$A$29,$A42,'1 · BBDD 2025 (insumo)'!$W$2:$W$29,1)&gt;0,1,0)</f>
        <v>0</v>
      </c>
      <c r="D42" s="10" t="n">
        <f aca="false">IF(COUNTIFS('1 · BBDD 2025 (insumo)'!$A$2:$A$29,$A42,'1 · BBDD 2025 (insumo)'!$X$2:$X$29,1)&gt;0,1,0)</f>
        <v>0</v>
      </c>
      <c r="E42" s="10" t="n">
        <f aca="false">IF(COUNTIFS('1 · BBDD 2025 (insumo)'!$A$2:$A$29,$A42,'1 · BBDD 2025 (insumo)'!$Y$2:$Y$29,1)&gt;0,1,0)</f>
        <v>0</v>
      </c>
      <c r="F42" s="10" t="n">
        <f aca="false">IF(COUNTIFS('1 · BBDD 2025 (insumo)'!$A$2:$A$29,$A42,'1 · BBDD 2025 (insumo)'!$Z$2:$Z$29,1)&gt;0,1,0)</f>
        <v>0</v>
      </c>
      <c r="G42" s="12" t="n">
        <f aca="false">SUM(B42:F42)</f>
        <v>0</v>
      </c>
    </row>
    <row r="43" customFormat="false" ht="15" hidden="false" customHeight="false" outlineLevel="0" collapsed="false">
      <c r="A43" s="17" t="s">
        <v>200</v>
      </c>
      <c r="B43" s="10" t="n">
        <f aca="false">IF(COUNTIFS('1 · BBDD 2025 (insumo)'!$A$2:$A$29,$A43,'1 · BBDD 2025 (insumo)'!$V$2:$V$29,1)&gt;0,1,0)</f>
        <v>0</v>
      </c>
      <c r="C43" s="10" t="n">
        <f aca="false">IF(COUNTIFS('1 · BBDD 2025 (insumo)'!$A$2:$A$29,$A43,'1 · BBDD 2025 (insumo)'!$W$2:$W$29,1)&gt;0,1,0)</f>
        <v>1</v>
      </c>
      <c r="D43" s="10" t="n">
        <f aca="false">IF(COUNTIFS('1 · BBDD 2025 (insumo)'!$A$2:$A$29,$A43,'1 · BBDD 2025 (insumo)'!$X$2:$X$29,1)&gt;0,1,0)</f>
        <v>0</v>
      </c>
      <c r="E43" s="10" t="n">
        <f aca="false">IF(COUNTIFS('1 · BBDD 2025 (insumo)'!$A$2:$A$29,$A43,'1 · BBDD 2025 (insumo)'!$Y$2:$Y$29,1)&gt;0,1,0)</f>
        <v>1</v>
      </c>
      <c r="F43" s="10" t="n">
        <f aca="false">IF(COUNTIFS('1 · BBDD 2025 (insumo)'!$A$2:$A$29,$A43,'1 · BBDD 2025 (insumo)'!$Z$2:$Z$29,1)&gt;0,1,0)</f>
        <v>0</v>
      </c>
      <c r="G43" s="12" t="n">
        <f aca="false">SUM(B43:F43)</f>
        <v>2</v>
      </c>
    </row>
    <row r="44" customFormat="false" ht="15" hidden="false" customHeight="false" outlineLevel="0" collapsed="false">
      <c r="A44" s="17" t="s">
        <v>244</v>
      </c>
      <c r="B44" s="10" t="n">
        <f aca="false">IF(COUNTIFS('1 · BBDD 2025 (insumo)'!$A$2:$A$29,$A44,'1 · BBDD 2025 (insumo)'!$V$2:$V$29,1)&gt;0,1,0)</f>
        <v>0</v>
      </c>
      <c r="C44" s="10" t="n">
        <f aca="false">IF(COUNTIFS('1 · BBDD 2025 (insumo)'!$A$2:$A$29,$A44,'1 · BBDD 2025 (insumo)'!$W$2:$W$29,1)&gt;0,1,0)</f>
        <v>0</v>
      </c>
      <c r="D44" s="10" t="n">
        <f aca="false">IF(COUNTIFS('1 · BBDD 2025 (insumo)'!$A$2:$A$29,$A44,'1 · BBDD 2025 (insumo)'!$X$2:$X$29,1)&gt;0,1,0)</f>
        <v>0</v>
      </c>
      <c r="E44" s="10" t="n">
        <f aca="false">IF(COUNTIFS('1 · BBDD 2025 (insumo)'!$A$2:$A$29,$A44,'1 · BBDD 2025 (insumo)'!$Y$2:$Y$29,1)&gt;0,1,0)</f>
        <v>0</v>
      </c>
      <c r="F44" s="10" t="n">
        <f aca="false">IF(COUNTIFS('1 · BBDD 2025 (insumo)'!$A$2:$A$29,$A44,'1 · BBDD 2025 (insumo)'!$Z$2:$Z$29,1)&gt;0,1,0)</f>
        <v>0</v>
      </c>
      <c r="G44" s="12" t="n">
        <f aca="false">SUM(B44:F44)</f>
        <v>0</v>
      </c>
    </row>
    <row r="45" customFormat="false" ht="15" hidden="false" customHeight="false" outlineLevel="0" collapsed="false">
      <c r="A45" s="17" t="s">
        <v>245</v>
      </c>
      <c r="B45" s="10" t="n">
        <f aca="false">IF(COUNTIFS('1 · BBDD 2025 (insumo)'!$A$2:$A$29,$A45,'1 · BBDD 2025 (insumo)'!$V$2:$V$29,1)&gt;0,1,0)</f>
        <v>0</v>
      </c>
      <c r="C45" s="10" t="n">
        <f aca="false">IF(COUNTIFS('1 · BBDD 2025 (insumo)'!$A$2:$A$29,$A45,'1 · BBDD 2025 (insumo)'!$W$2:$W$29,1)&gt;0,1,0)</f>
        <v>0</v>
      </c>
      <c r="D45" s="10" t="n">
        <f aca="false">IF(COUNTIFS('1 · BBDD 2025 (insumo)'!$A$2:$A$29,$A45,'1 · BBDD 2025 (insumo)'!$X$2:$X$29,1)&gt;0,1,0)</f>
        <v>0</v>
      </c>
      <c r="E45" s="10" t="n">
        <f aca="false">IF(COUNTIFS('1 · BBDD 2025 (insumo)'!$A$2:$A$29,$A45,'1 · BBDD 2025 (insumo)'!$Y$2:$Y$29,1)&gt;0,1,0)</f>
        <v>0</v>
      </c>
      <c r="F45" s="10" t="n">
        <f aca="false">IF(COUNTIFS('1 · BBDD 2025 (insumo)'!$A$2:$A$29,$A45,'1 · BBDD 2025 (insumo)'!$Z$2:$Z$29,1)&gt;0,1,0)</f>
        <v>0</v>
      </c>
      <c r="G45" s="12" t="n">
        <f aca="false">SUM(B45:F45)</f>
        <v>0</v>
      </c>
    </row>
    <row r="46" customFormat="false" ht="15" hidden="false" customHeight="false" outlineLevel="0" collapsed="false">
      <c r="A46" s="17" t="s">
        <v>246</v>
      </c>
      <c r="B46" s="10" t="n">
        <f aca="false">IF(COUNTIFS('1 · BBDD 2025 (insumo)'!$A$2:$A$29,$A46,'1 · BBDD 2025 (insumo)'!$V$2:$V$29,1)&gt;0,1,0)</f>
        <v>0</v>
      </c>
      <c r="C46" s="10" t="n">
        <f aca="false">IF(COUNTIFS('1 · BBDD 2025 (insumo)'!$A$2:$A$29,$A46,'1 · BBDD 2025 (insumo)'!$W$2:$W$29,1)&gt;0,1,0)</f>
        <v>0</v>
      </c>
      <c r="D46" s="10" t="n">
        <f aca="false">IF(COUNTIFS('1 · BBDD 2025 (insumo)'!$A$2:$A$29,$A46,'1 · BBDD 2025 (insumo)'!$X$2:$X$29,1)&gt;0,1,0)</f>
        <v>0</v>
      </c>
      <c r="E46" s="10" t="n">
        <f aca="false">IF(COUNTIFS('1 · BBDD 2025 (insumo)'!$A$2:$A$29,$A46,'1 · BBDD 2025 (insumo)'!$Y$2:$Y$29,1)&gt;0,1,0)</f>
        <v>0</v>
      </c>
      <c r="F46" s="10" t="n">
        <f aca="false">IF(COUNTIFS('1 · BBDD 2025 (insumo)'!$A$2:$A$29,$A46,'1 · BBDD 2025 (insumo)'!$Z$2:$Z$29,1)&gt;0,1,0)</f>
        <v>0</v>
      </c>
      <c r="G46" s="12" t="n">
        <f aca="false">SUM(B46:F46)</f>
        <v>0</v>
      </c>
    </row>
    <row r="47" customFormat="false" ht="15" hidden="false" customHeight="false" outlineLevel="0" collapsed="false">
      <c r="A47" s="17" t="s">
        <v>248</v>
      </c>
      <c r="B47" s="10" t="n">
        <f aca="false">IF(COUNTIFS('1 · BBDD 2025 (insumo)'!$A$2:$A$29,$A47,'1 · BBDD 2025 (insumo)'!$V$2:$V$29,1)&gt;0,1,0)</f>
        <v>0</v>
      </c>
      <c r="C47" s="10" t="n">
        <f aca="false">IF(COUNTIFS('1 · BBDD 2025 (insumo)'!$A$2:$A$29,$A47,'1 · BBDD 2025 (insumo)'!$W$2:$W$29,1)&gt;0,1,0)</f>
        <v>0</v>
      </c>
      <c r="D47" s="10" t="n">
        <f aca="false">IF(COUNTIFS('1 · BBDD 2025 (insumo)'!$A$2:$A$29,$A47,'1 · BBDD 2025 (insumo)'!$X$2:$X$29,1)&gt;0,1,0)</f>
        <v>0</v>
      </c>
      <c r="E47" s="10" t="n">
        <f aca="false">IF(COUNTIFS('1 · BBDD 2025 (insumo)'!$A$2:$A$29,$A47,'1 · BBDD 2025 (insumo)'!$Y$2:$Y$29,1)&gt;0,1,0)</f>
        <v>0</v>
      </c>
      <c r="F47" s="10" t="n">
        <f aca="false">IF(COUNTIFS('1 · BBDD 2025 (insumo)'!$A$2:$A$29,$A47,'1 · BBDD 2025 (insumo)'!$Z$2:$Z$29,1)&gt;0,1,0)</f>
        <v>0</v>
      </c>
      <c r="G47" s="12" t="n">
        <f aca="false">SUM(B47:F47)</f>
        <v>0</v>
      </c>
    </row>
    <row r="48" customFormat="false" ht="15" hidden="false" customHeight="false" outlineLevel="0" collapsed="false">
      <c r="A48" s="17" t="s">
        <v>249</v>
      </c>
      <c r="B48" s="10" t="n">
        <f aca="false">IF(COUNTIFS('1 · BBDD 2025 (insumo)'!$A$2:$A$29,$A48,'1 · BBDD 2025 (insumo)'!$V$2:$V$29,1)&gt;0,1,0)</f>
        <v>0</v>
      </c>
      <c r="C48" s="10" t="n">
        <f aca="false">IF(COUNTIFS('1 · BBDD 2025 (insumo)'!$A$2:$A$29,$A48,'1 · BBDD 2025 (insumo)'!$W$2:$W$29,1)&gt;0,1,0)</f>
        <v>0</v>
      </c>
      <c r="D48" s="10" t="n">
        <f aca="false">IF(COUNTIFS('1 · BBDD 2025 (insumo)'!$A$2:$A$29,$A48,'1 · BBDD 2025 (insumo)'!$X$2:$X$29,1)&gt;0,1,0)</f>
        <v>0</v>
      </c>
      <c r="E48" s="10" t="n">
        <f aca="false">IF(COUNTIFS('1 · BBDD 2025 (insumo)'!$A$2:$A$29,$A48,'1 · BBDD 2025 (insumo)'!$Y$2:$Y$29,1)&gt;0,1,0)</f>
        <v>0</v>
      </c>
      <c r="F48" s="10" t="n">
        <f aca="false">IF(COUNTIFS('1 · BBDD 2025 (insumo)'!$A$2:$A$29,$A48,'1 · BBDD 2025 (insumo)'!$Z$2:$Z$29,1)&gt;0,1,0)</f>
        <v>0</v>
      </c>
      <c r="G48" s="12" t="n">
        <f aca="false">SUM(B48:F48)</f>
        <v>0</v>
      </c>
    </row>
    <row r="51" customFormat="false" ht="15" hidden="false" customHeight="false" outlineLevel="0" collapsed="false">
      <c r="A51" s="8" t="s">
        <v>262</v>
      </c>
    </row>
    <row r="52" customFormat="false" ht="22.35" hidden="false" customHeight="false" outlineLevel="0" collapsed="false">
      <c r="A52" s="2" t="s">
        <v>0</v>
      </c>
      <c r="B52" s="2" t="s">
        <v>263</v>
      </c>
      <c r="C52" s="2" t="s">
        <v>264</v>
      </c>
      <c r="D52" s="2" t="s">
        <v>265</v>
      </c>
      <c r="E52" s="2" t="s">
        <v>266</v>
      </c>
      <c r="F52" s="2" t="s">
        <v>261</v>
      </c>
    </row>
    <row r="53" customFormat="false" ht="15" hidden="false" customHeight="false" outlineLevel="0" collapsed="false">
      <c r="A53" s="17" t="s">
        <v>240</v>
      </c>
      <c r="B53" s="10" t="n">
        <f aca="false">IF(COUNTIFS('1 · BBDD 2025 (insumo)'!$A$2:$A$29,$A53,'1 · BBDD 2025 (insumo)'!$AA$2:$AA$29,1)&gt;0,1,0)</f>
        <v>0</v>
      </c>
      <c r="C53" s="10" t="n">
        <f aca="false">IF(COUNTIFS('1 · BBDD 2025 (insumo)'!$A$2:$A$29,$A53,'1 · BBDD 2025 (insumo)'!$AB$2:$AB$29,1)&gt;0,1,0)</f>
        <v>0</v>
      </c>
      <c r="D53" s="10" t="n">
        <f aca="false">IF(COUNTIFS('1 · BBDD 2025 (insumo)'!$A$2:$A$29,$A53,'1 · BBDD 2025 (insumo)'!$AC$2:$AC$29,1)&gt;0,1,0)</f>
        <v>0</v>
      </c>
      <c r="E53" s="10" t="n">
        <f aca="false">IF(COUNTIFS('1 · BBDD 2025 (insumo)'!$A$2:$A$29,$A53,'1 · BBDD 2025 (insumo)'!$AD$2:$AD$29,1)&gt;0,1,0)</f>
        <v>0</v>
      </c>
      <c r="F53" s="12" t="n">
        <f aca="false">SUM(B53:E53)</f>
        <v>0</v>
      </c>
    </row>
    <row r="54" customFormat="false" ht="15" hidden="false" customHeight="false" outlineLevel="0" collapsed="false">
      <c r="A54" s="17" t="s">
        <v>51</v>
      </c>
      <c r="B54" s="10" t="n">
        <f aca="false">IF(COUNTIFS('1 · BBDD 2025 (insumo)'!$A$2:$A$29,$A54,'1 · BBDD 2025 (insumo)'!$AA$2:$AA$29,1)&gt;0,1,0)</f>
        <v>0</v>
      </c>
      <c r="C54" s="10" t="n">
        <f aca="false">IF(COUNTIFS('1 · BBDD 2025 (insumo)'!$A$2:$A$29,$A54,'1 · BBDD 2025 (insumo)'!$AB$2:$AB$29,1)&gt;0,1,0)</f>
        <v>1</v>
      </c>
      <c r="D54" s="10" t="n">
        <f aca="false">IF(COUNTIFS('1 · BBDD 2025 (insumo)'!$A$2:$A$29,$A54,'1 · BBDD 2025 (insumo)'!$AC$2:$AC$29,1)&gt;0,1,0)</f>
        <v>1</v>
      </c>
      <c r="E54" s="10" t="n">
        <f aca="false">IF(COUNTIFS('1 · BBDD 2025 (insumo)'!$A$2:$A$29,$A54,'1 · BBDD 2025 (insumo)'!$AD$2:$AD$29,1)&gt;0,1,0)</f>
        <v>0</v>
      </c>
      <c r="F54" s="12" t="n">
        <f aca="false">SUM(B54:E54)</f>
        <v>2</v>
      </c>
    </row>
    <row r="55" customFormat="false" ht="15" hidden="false" customHeight="false" outlineLevel="0" collapsed="false">
      <c r="A55" s="17" t="s">
        <v>63</v>
      </c>
      <c r="B55" s="10" t="n">
        <f aca="false">IF(COUNTIFS('1 · BBDD 2025 (insumo)'!$A$2:$A$29,$A55,'1 · BBDD 2025 (insumo)'!$AA$2:$AA$29,1)&gt;0,1,0)</f>
        <v>0</v>
      </c>
      <c r="C55" s="10" t="n">
        <f aca="false">IF(COUNTIFS('1 · BBDD 2025 (insumo)'!$A$2:$A$29,$A55,'1 · BBDD 2025 (insumo)'!$AB$2:$AB$29,1)&gt;0,1,0)</f>
        <v>1</v>
      </c>
      <c r="D55" s="10" t="n">
        <f aca="false">IF(COUNTIFS('1 · BBDD 2025 (insumo)'!$A$2:$A$29,$A55,'1 · BBDD 2025 (insumo)'!$AC$2:$AC$29,1)&gt;0,1,0)</f>
        <v>1</v>
      </c>
      <c r="E55" s="10" t="n">
        <f aca="false">IF(COUNTIFS('1 · BBDD 2025 (insumo)'!$A$2:$A$29,$A55,'1 · BBDD 2025 (insumo)'!$AD$2:$AD$29,1)&gt;0,1,0)</f>
        <v>1</v>
      </c>
      <c r="F55" s="12" t="n">
        <f aca="false">SUM(B55:E55)</f>
        <v>3</v>
      </c>
    </row>
    <row r="56" customFormat="false" ht="15" hidden="false" customHeight="false" outlineLevel="0" collapsed="false">
      <c r="A56" s="17" t="s">
        <v>96</v>
      </c>
      <c r="B56" s="10" t="n">
        <f aca="false">IF(COUNTIFS('1 · BBDD 2025 (insumo)'!$A$2:$A$29,$A56,'1 · BBDD 2025 (insumo)'!$AA$2:$AA$29,1)&gt;0,1,0)</f>
        <v>0</v>
      </c>
      <c r="C56" s="10" t="n">
        <f aca="false">IF(COUNTIFS('1 · BBDD 2025 (insumo)'!$A$2:$A$29,$A56,'1 · BBDD 2025 (insumo)'!$AB$2:$AB$29,1)&gt;0,1,0)</f>
        <v>1</v>
      </c>
      <c r="D56" s="10" t="n">
        <f aca="false">IF(COUNTIFS('1 · BBDD 2025 (insumo)'!$A$2:$A$29,$A56,'1 · BBDD 2025 (insumo)'!$AC$2:$AC$29,1)&gt;0,1,0)</f>
        <v>1</v>
      </c>
      <c r="E56" s="10" t="n">
        <f aca="false">IF(COUNTIFS('1 · BBDD 2025 (insumo)'!$A$2:$A$29,$A56,'1 · BBDD 2025 (insumo)'!$AD$2:$AD$29,1)&gt;0,1,0)</f>
        <v>0</v>
      </c>
      <c r="F56" s="12" t="n">
        <f aca="false">SUM(B56:E56)</f>
        <v>2</v>
      </c>
    </row>
    <row r="57" customFormat="false" ht="15" hidden="false" customHeight="false" outlineLevel="0" collapsed="false">
      <c r="A57" s="17" t="s">
        <v>128</v>
      </c>
      <c r="B57" s="10" t="n">
        <f aca="false">IF(COUNTIFS('1 · BBDD 2025 (insumo)'!$A$2:$A$29,$A57,'1 · BBDD 2025 (insumo)'!$AA$2:$AA$29,1)&gt;0,1,0)</f>
        <v>0</v>
      </c>
      <c r="C57" s="10" t="n">
        <f aca="false">IF(COUNTIFS('1 · BBDD 2025 (insumo)'!$A$2:$A$29,$A57,'1 · BBDD 2025 (insumo)'!$AB$2:$AB$29,1)&gt;0,1,0)</f>
        <v>1</v>
      </c>
      <c r="D57" s="10" t="n">
        <f aca="false">IF(COUNTIFS('1 · BBDD 2025 (insumo)'!$A$2:$A$29,$A57,'1 · BBDD 2025 (insumo)'!$AC$2:$AC$29,1)&gt;0,1,0)</f>
        <v>1</v>
      </c>
      <c r="E57" s="10" t="n">
        <f aca="false">IF(COUNTIFS('1 · BBDD 2025 (insumo)'!$A$2:$A$29,$A57,'1 · BBDD 2025 (insumo)'!$AD$2:$AD$29,1)&gt;0,1,0)</f>
        <v>0</v>
      </c>
      <c r="F57" s="12" t="n">
        <f aca="false">SUM(B57:E57)</f>
        <v>2</v>
      </c>
    </row>
    <row r="58" customFormat="false" ht="15" hidden="false" customHeight="false" outlineLevel="0" collapsed="false">
      <c r="A58" s="17" t="s">
        <v>151</v>
      </c>
      <c r="B58" s="10" t="n">
        <f aca="false">IF(COUNTIFS('1 · BBDD 2025 (insumo)'!$A$2:$A$29,$A58,'1 · BBDD 2025 (insumo)'!$AA$2:$AA$29,1)&gt;0,1,0)</f>
        <v>0</v>
      </c>
      <c r="C58" s="10" t="n">
        <f aca="false">IF(COUNTIFS('1 · BBDD 2025 (insumo)'!$A$2:$A$29,$A58,'1 · BBDD 2025 (insumo)'!$AB$2:$AB$29,1)&gt;0,1,0)</f>
        <v>0</v>
      </c>
      <c r="D58" s="10" t="n">
        <f aca="false">IF(COUNTIFS('1 · BBDD 2025 (insumo)'!$A$2:$A$29,$A58,'1 · BBDD 2025 (insumo)'!$AC$2:$AC$29,1)&gt;0,1,0)</f>
        <v>1</v>
      </c>
      <c r="E58" s="10" t="n">
        <f aca="false">IF(COUNTIFS('1 · BBDD 2025 (insumo)'!$A$2:$A$29,$A58,'1 · BBDD 2025 (insumo)'!$AD$2:$AD$29,1)&gt;0,1,0)</f>
        <v>1</v>
      </c>
      <c r="F58" s="12" t="n">
        <f aca="false">SUM(B58:E58)</f>
        <v>2</v>
      </c>
    </row>
    <row r="59" customFormat="false" ht="15" hidden="false" customHeight="false" outlineLevel="0" collapsed="false">
      <c r="A59" s="17" t="s">
        <v>241</v>
      </c>
      <c r="B59" s="10" t="n">
        <f aca="false">IF(COUNTIFS('1 · BBDD 2025 (insumo)'!$A$2:$A$29,$A59,'1 · BBDD 2025 (insumo)'!$AA$2:$AA$29,1)&gt;0,1,0)</f>
        <v>0</v>
      </c>
      <c r="C59" s="10" t="n">
        <f aca="false">IF(COUNTIFS('1 · BBDD 2025 (insumo)'!$A$2:$A$29,$A59,'1 · BBDD 2025 (insumo)'!$AB$2:$AB$29,1)&gt;0,1,0)</f>
        <v>0</v>
      </c>
      <c r="D59" s="10" t="n">
        <f aca="false">IF(COUNTIFS('1 · BBDD 2025 (insumo)'!$A$2:$A$29,$A59,'1 · BBDD 2025 (insumo)'!$AC$2:$AC$29,1)&gt;0,1,0)</f>
        <v>0</v>
      </c>
      <c r="E59" s="10" t="n">
        <f aca="false">IF(COUNTIFS('1 · BBDD 2025 (insumo)'!$A$2:$A$29,$A59,'1 · BBDD 2025 (insumo)'!$AD$2:$AD$29,1)&gt;0,1,0)</f>
        <v>0</v>
      </c>
      <c r="F59" s="12" t="n">
        <f aca="false">SUM(B59:E59)</f>
        <v>0</v>
      </c>
    </row>
    <row r="60" customFormat="false" ht="15" hidden="false" customHeight="false" outlineLevel="0" collapsed="false">
      <c r="A60" s="17" t="s">
        <v>163</v>
      </c>
      <c r="B60" s="10" t="n">
        <f aca="false">IF(COUNTIFS('1 · BBDD 2025 (insumo)'!$A$2:$A$29,$A60,'1 · BBDD 2025 (insumo)'!$AA$2:$AA$29,1)&gt;0,1,0)</f>
        <v>0</v>
      </c>
      <c r="C60" s="10" t="n">
        <f aca="false">IF(COUNTIFS('1 · BBDD 2025 (insumo)'!$A$2:$A$29,$A60,'1 · BBDD 2025 (insumo)'!$AB$2:$AB$29,1)&gt;0,1,0)</f>
        <v>1</v>
      </c>
      <c r="D60" s="10" t="n">
        <f aca="false">IF(COUNTIFS('1 · BBDD 2025 (insumo)'!$A$2:$A$29,$A60,'1 · BBDD 2025 (insumo)'!$AC$2:$AC$29,1)&gt;0,1,0)</f>
        <v>0</v>
      </c>
      <c r="E60" s="10" t="n">
        <f aca="false">IF(COUNTIFS('1 · BBDD 2025 (insumo)'!$A$2:$A$29,$A60,'1 · BBDD 2025 (insumo)'!$AD$2:$AD$29,1)&gt;0,1,0)</f>
        <v>0</v>
      </c>
      <c r="F60" s="12" t="n">
        <f aca="false">SUM(B60:E60)</f>
        <v>1</v>
      </c>
    </row>
    <row r="61" customFormat="false" ht="15" hidden="false" customHeight="false" outlineLevel="0" collapsed="false">
      <c r="A61" s="17" t="s">
        <v>170</v>
      </c>
      <c r="B61" s="10" t="n">
        <f aca="false">IF(COUNTIFS('1 · BBDD 2025 (insumo)'!$A$2:$A$29,$A61,'1 · BBDD 2025 (insumo)'!$AA$2:$AA$29,1)&gt;0,1,0)</f>
        <v>0</v>
      </c>
      <c r="C61" s="10" t="n">
        <f aca="false">IF(COUNTIFS('1 · BBDD 2025 (insumo)'!$A$2:$A$29,$A61,'1 · BBDD 2025 (insumo)'!$AB$2:$AB$29,1)&gt;0,1,0)</f>
        <v>1</v>
      </c>
      <c r="D61" s="10" t="n">
        <f aca="false">IF(COUNTIFS('1 · BBDD 2025 (insumo)'!$A$2:$A$29,$A61,'1 · BBDD 2025 (insumo)'!$AC$2:$AC$29,1)&gt;0,1,0)</f>
        <v>0</v>
      </c>
      <c r="E61" s="10" t="n">
        <f aca="false">IF(COUNTIFS('1 · BBDD 2025 (insumo)'!$A$2:$A$29,$A61,'1 · BBDD 2025 (insumo)'!$AD$2:$AD$29,1)&gt;0,1,0)</f>
        <v>0</v>
      </c>
      <c r="F61" s="12" t="n">
        <f aca="false">SUM(B61:E61)</f>
        <v>1</v>
      </c>
    </row>
    <row r="62" customFormat="false" ht="15" hidden="false" customHeight="false" outlineLevel="0" collapsed="false">
      <c r="A62" s="17" t="s">
        <v>177</v>
      </c>
      <c r="B62" s="10" t="n">
        <f aca="false">IF(COUNTIFS('1 · BBDD 2025 (insumo)'!$A$2:$A$29,$A62,'1 · BBDD 2025 (insumo)'!$AA$2:$AA$29,1)&gt;0,1,0)</f>
        <v>0</v>
      </c>
      <c r="C62" s="10" t="n">
        <f aca="false">IF(COUNTIFS('1 · BBDD 2025 (insumo)'!$A$2:$A$29,$A62,'1 · BBDD 2025 (insumo)'!$AB$2:$AB$29,1)&gt;0,1,0)</f>
        <v>1</v>
      </c>
      <c r="D62" s="10" t="n">
        <f aca="false">IF(COUNTIFS('1 · BBDD 2025 (insumo)'!$A$2:$A$29,$A62,'1 · BBDD 2025 (insumo)'!$AC$2:$AC$29,1)&gt;0,1,0)</f>
        <v>0</v>
      </c>
      <c r="E62" s="10" t="n">
        <f aca="false">IF(COUNTIFS('1 · BBDD 2025 (insumo)'!$A$2:$A$29,$A62,'1 · BBDD 2025 (insumo)'!$AD$2:$AD$29,1)&gt;0,1,0)</f>
        <v>0</v>
      </c>
      <c r="F62" s="12" t="n">
        <f aca="false">SUM(B62:E62)</f>
        <v>1</v>
      </c>
    </row>
    <row r="63" customFormat="false" ht="15" hidden="false" customHeight="false" outlineLevel="0" collapsed="false">
      <c r="A63" s="17" t="s">
        <v>183</v>
      </c>
      <c r="B63" s="10" t="n">
        <f aca="false">IF(COUNTIFS('1 · BBDD 2025 (insumo)'!$A$2:$A$29,$A63,'1 · BBDD 2025 (insumo)'!$AA$2:$AA$29,1)&gt;0,1,0)</f>
        <v>0</v>
      </c>
      <c r="C63" s="10" t="n">
        <f aca="false">IF(COUNTIFS('1 · BBDD 2025 (insumo)'!$A$2:$A$29,$A63,'1 · BBDD 2025 (insumo)'!$AB$2:$AB$29,1)&gt;0,1,0)</f>
        <v>0</v>
      </c>
      <c r="D63" s="10" t="n">
        <f aca="false">IF(COUNTIFS('1 · BBDD 2025 (insumo)'!$A$2:$A$29,$A63,'1 · BBDD 2025 (insumo)'!$AC$2:$AC$29,1)&gt;0,1,0)</f>
        <v>1</v>
      </c>
      <c r="E63" s="10" t="n">
        <f aca="false">IF(COUNTIFS('1 · BBDD 2025 (insumo)'!$A$2:$A$29,$A63,'1 · BBDD 2025 (insumo)'!$AD$2:$AD$29,1)&gt;0,1,0)</f>
        <v>0</v>
      </c>
      <c r="F63" s="12" t="n">
        <f aca="false">SUM(B63:E63)</f>
        <v>1</v>
      </c>
    </row>
    <row r="64" customFormat="false" ht="15" hidden="false" customHeight="false" outlineLevel="0" collapsed="false">
      <c r="A64" s="17" t="s">
        <v>242</v>
      </c>
      <c r="B64" s="10" t="n">
        <f aca="false">IF(COUNTIFS('1 · BBDD 2025 (insumo)'!$A$2:$A$29,$A64,'1 · BBDD 2025 (insumo)'!$AA$2:$AA$29,1)&gt;0,1,0)</f>
        <v>0</v>
      </c>
      <c r="C64" s="10" t="n">
        <f aca="false">IF(COUNTIFS('1 · BBDD 2025 (insumo)'!$A$2:$A$29,$A64,'1 · BBDD 2025 (insumo)'!$AB$2:$AB$29,1)&gt;0,1,0)</f>
        <v>0</v>
      </c>
      <c r="D64" s="10" t="n">
        <f aca="false">IF(COUNTIFS('1 · BBDD 2025 (insumo)'!$A$2:$A$29,$A64,'1 · BBDD 2025 (insumo)'!$AC$2:$AC$29,1)&gt;0,1,0)</f>
        <v>0</v>
      </c>
      <c r="E64" s="10" t="n">
        <f aca="false">IF(COUNTIFS('1 · BBDD 2025 (insumo)'!$A$2:$A$29,$A64,'1 · BBDD 2025 (insumo)'!$AD$2:$AD$29,1)&gt;0,1,0)</f>
        <v>0</v>
      </c>
      <c r="F64" s="12" t="n">
        <f aca="false">SUM(B64:E64)</f>
        <v>0</v>
      </c>
    </row>
    <row r="65" customFormat="false" ht="15" hidden="false" customHeight="false" outlineLevel="0" collapsed="false">
      <c r="A65" s="17" t="s">
        <v>190</v>
      </c>
      <c r="B65" s="10" t="n">
        <f aca="false">IF(COUNTIFS('1 · BBDD 2025 (insumo)'!$A$2:$A$29,$A65,'1 · BBDD 2025 (insumo)'!$AA$2:$AA$29,1)&gt;0,1,0)</f>
        <v>0</v>
      </c>
      <c r="C65" s="10" t="n">
        <f aca="false">IF(COUNTIFS('1 · BBDD 2025 (insumo)'!$A$2:$A$29,$A65,'1 · BBDD 2025 (insumo)'!$AB$2:$AB$29,1)&gt;0,1,0)</f>
        <v>1</v>
      </c>
      <c r="D65" s="10" t="n">
        <f aca="false">IF(COUNTIFS('1 · BBDD 2025 (insumo)'!$A$2:$A$29,$A65,'1 · BBDD 2025 (insumo)'!$AC$2:$AC$29,1)&gt;0,1,0)</f>
        <v>0</v>
      </c>
      <c r="E65" s="10" t="n">
        <f aca="false">IF(COUNTIFS('1 · BBDD 2025 (insumo)'!$A$2:$A$29,$A65,'1 · BBDD 2025 (insumo)'!$AD$2:$AD$29,1)&gt;0,1,0)</f>
        <v>0</v>
      </c>
      <c r="F65" s="12" t="n">
        <f aca="false">SUM(B65:E65)</f>
        <v>1</v>
      </c>
    </row>
    <row r="66" customFormat="false" ht="15" hidden="false" customHeight="false" outlineLevel="0" collapsed="false">
      <c r="A66" s="17" t="s">
        <v>243</v>
      </c>
      <c r="B66" s="10" t="n">
        <f aca="false">IF(COUNTIFS('1 · BBDD 2025 (insumo)'!$A$2:$A$29,$A66,'1 · BBDD 2025 (insumo)'!$AA$2:$AA$29,1)&gt;0,1,0)</f>
        <v>0</v>
      </c>
      <c r="C66" s="10" t="n">
        <f aca="false">IF(COUNTIFS('1 · BBDD 2025 (insumo)'!$A$2:$A$29,$A66,'1 · BBDD 2025 (insumo)'!$AB$2:$AB$29,1)&gt;0,1,0)</f>
        <v>0</v>
      </c>
      <c r="D66" s="10" t="n">
        <f aca="false">IF(COUNTIFS('1 · BBDD 2025 (insumo)'!$A$2:$A$29,$A66,'1 · BBDD 2025 (insumo)'!$AC$2:$AC$29,1)&gt;0,1,0)</f>
        <v>0</v>
      </c>
      <c r="E66" s="10" t="n">
        <f aca="false">IF(COUNTIFS('1 · BBDD 2025 (insumo)'!$A$2:$A$29,$A66,'1 · BBDD 2025 (insumo)'!$AD$2:$AD$29,1)&gt;0,1,0)</f>
        <v>0</v>
      </c>
      <c r="F66" s="12" t="n">
        <f aca="false">SUM(B66:E66)</f>
        <v>0</v>
      </c>
    </row>
    <row r="67" customFormat="false" ht="15" hidden="false" customHeight="false" outlineLevel="0" collapsed="false">
      <c r="A67" s="17" t="s">
        <v>200</v>
      </c>
      <c r="B67" s="10" t="n">
        <f aca="false">IF(COUNTIFS('1 · BBDD 2025 (insumo)'!$A$2:$A$29,$A67,'1 · BBDD 2025 (insumo)'!$AA$2:$AA$29,1)&gt;0,1,0)</f>
        <v>0</v>
      </c>
      <c r="C67" s="10" t="n">
        <f aca="false">IF(COUNTIFS('1 · BBDD 2025 (insumo)'!$A$2:$A$29,$A67,'1 · BBDD 2025 (insumo)'!$AB$2:$AB$29,1)&gt;0,1,0)</f>
        <v>1</v>
      </c>
      <c r="D67" s="10" t="n">
        <f aca="false">IF(COUNTIFS('1 · BBDD 2025 (insumo)'!$A$2:$A$29,$A67,'1 · BBDD 2025 (insumo)'!$AC$2:$AC$29,1)&gt;0,1,0)</f>
        <v>1</v>
      </c>
      <c r="E67" s="10" t="n">
        <f aca="false">IF(COUNTIFS('1 · BBDD 2025 (insumo)'!$A$2:$A$29,$A67,'1 · BBDD 2025 (insumo)'!$AD$2:$AD$29,1)&gt;0,1,0)</f>
        <v>0</v>
      </c>
      <c r="F67" s="12" t="n">
        <f aca="false">SUM(B67:E67)</f>
        <v>2</v>
      </c>
    </row>
    <row r="68" customFormat="false" ht="15" hidden="false" customHeight="false" outlineLevel="0" collapsed="false">
      <c r="A68" s="17" t="s">
        <v>244</v>
      </c>
      <c r="B68" s="10" t="n">
        <f aca="false">IF(COUNTIFS('1 · BBDD 2025 (insumo)'!$A$2:$A$29,$A68,'1 · BBDD 2025 (insumo)'!$AA$2:$AA$29,1)&gt;0,1,0)</f>
        <v>0</v>
      </c>
      <c r="C68" s="10" t="n">
        <f aca="false">IF(COUNTIFS('1 · BBDD 2025 (insumo)'!$A$2:$A$29,$A68,'1 · BBDD 2025 (insumo)'!$AB$2:$AB$29,1)&gt;0,1,0)</f>
        <v>0</v>
      </c>
      <c r="D68" s="10" t="n">
        <f aca="false">IF(COUNTIFS('1 · BBDD 2025 (insumo)'!$A$2:$A$29,$A68,'1 · BBDD 2025 (insumo)'!$AC$2:$AC$29,1)&gt;0,1,0)</f>
        <v>0</v>
      </c>
      <c r="E68" s="10" t="n">
        <f aca="false">IF(COUNTIFS('1 · BBDD 2025 (insumo)'!$A$2:$A$29,$A68,'1 · BBDD 2025 (insumo)'!$AD$2:$AD$29,1)&gt;0,1,0)</f>
        <v>0</v>
      </c>
      <c r="F68" s="12" t="n">
        <f aca="false">SUM(B68:E68)</f>
        <v>0</v>
      </c>
    </row>
    <row r="69" customFormat="false" ht="15" hidden="false" customHeight="false" outlineLevel="0" collapsed="false">
      <c r="A69" s="17" t="s">
        <v>245</v>
      </c>
      <c r="B69" s="10" t="n">
        <f aca="false">IF(COUNTIFS('1 · BBDD 2025 (insumo)'!$A$2:$A$29,$A69,'1 · BBDD 2025 (insumo)'!$AA$2:$AA$29,1)&gt;0,1,0)</f>
        <v>0</v>
      </c>
      <c r="C69" s="10" t="n">
        <f aca="false">IF(COUNTIFS('1 · BBDD 2025 (insumo)'!$A$2:$A$29,$A69,'1 · BBDD 2025 (insumo)'!$AB$2:$AB$29,1)&gt;0,1,0)</f>
        <v>0</v>
      </c>
      <c r="D69" s="10" t="n">
        <f aca="false">IF(COUNTIFS('1 · BBDD 2025 (insumo)'!$A$2:$A$29,$A69,'1 · BBDD 2025 (insumo)'!$AC$2:$AC$29,1)&gt;0,1,0)</f>
        <v>0</v>
      </c>
      <c r="E69" s="10" t="n">
        <f aca="false">IF(COUNTIFS('1 · BBDD 2025 (insumo)'!$A$2:$A$29,$A69,'1 · BBDD 2025 (insumo)'!$AD$2:$AD$29,1)&gt;0,1,0)</f>
        <v>0</v>
      </c>
      <c r="F69" s="12" t="n">
        <f aca="false">SUM(B69:E69)</f>
        <v>0</v>
      </c>
    </row>
    <row r="70" customFormat="false" ht="15" hidden="false" customHeight="false" outlineLevel="0" collapsed="false">
      <c r="A70" s="17" t="s">
        <v>246</v>
      </c>
      <c r="B70" s="10" t="n">
        <f aca="false">IF(COUNTIFS('1 · BBDD 2025 (insumo)'!$A$2:$A$29,$A70,'1 · BBDD 2025 (insumo)'!$AA$2:$AA$29,1)&gt;0,1,0)</f>
        <v>0</v>
      </c>
      <c r="C70" s="10" t="n">
        <f aca="false">IF(COUNTIFS('1 · BBDD 2025 (insumo)'!$A$2:$A$29,$A70,'1 · BBDD 2025 (insumo)'!$AB$2:$AB$29,1)&gt;0,1,0)</f>
        <v>0</v>
      </c>
      <c r="D70" s="10" t="n">
        <f aca="false">IF(COUNTIFS('1 · BBDD 2025 (insumo)'!$A$2:$A$29,$A70,'1 · BBDD 2025 (insumo)'!$AC$2:$AC$29,1)&gt;0,1,0)</f>
        <v>0</v>
      </c>
      <c r="E70" s="10" t="n">
        <f aca="false">IF(COUNTIFS('1 · BBDD 2025 (insumo)'!$A$2:$A$29,$A70,'1 · BBDD 2025 (insumo)'!$AD$2:$AD$29,1)&gt;0,1,0)</f>
        <v>0</v>
      </c>
      <c r="F70" s="12" t="n">
        <f aca="false">SUM(B70:E70)</f>
        <v>0</v>
      </c>
    </row>
    <row r="71" customFormat="false" ht="15" hidden="false" customHeight="false" outlineLevel="0" collapsed="false">
      <c r="A71" s="17" t="s">
        <v>248</v>
      </c>
      <c r="B71" s="10" t="n">
        <f aca="false">IF(COUNTIFS('1 · BBDD 2025 (insumo)'!$A$2:$A$29,$A71,'1 · BBDD 2025 (insumo)'!$AA$2:$AA$29,1)&gt;0,1,0)</f>
        <v>0</v>
      </c>
      <c r="C71" s="10" t="n">
        <f aca="false">IF(COUNTIFS('1 · BBDD 2025 (insumo)'!$A$2:$A$29,$A71,'1 · BBDD 2025 (insumo)'!$AB$2:$AB$29,1)&gt;0,1,0)</f>
        <v>0</v>
      </c>
      <c r="D71" s="10" t="n">
        <f aca="false">IF(COUNTIFS('1 · BBDD 2025 (insumo)'!$A$2:$A$29,$A71,'1 · BBDD 2025 (insumo)'!$AC$2:$AC$29,1)&gt;0,1,0)</f>
        <v>0</v>
      </c>
      <c r="E71" s="10" t="n">
        <f aca="false">IF(COUNTIFS('1 · BBDD 2025 (insumo)'!$A$2:$A$29,$A71,'1 · BBDD 2025 (insumo)'!$AD$2:$AD$29,1)&gt;0,1,0)</f>
        <v>0</v>
      </c>
      <c r="F71" s="12" t="n">
        <f aca="false">SUM(B71:E71)</f>
        <v>0</v>
      </c>
    </row>
    <row r="72" customFormat="false" ht="15" hidden="false" customHeight="false" outlineLevel="0" collapsed="false">
      <c r="A72" s="17" t="s">
        <v>249</v>
      </c>
      <c r="B72" s="10" t="n">
        <f aca="false">IF(COUNTIFS('1 · BBDD 2025 (insumo)'!$A$2:$A$29,$A72,'1 · BBDD 2025 (insumo)'!$AA$2:$AA$29,1)&gt;0,1,0)</f>
        <v>0</v>
      </c>
      <c r="C72" s="10" t="n">
        <f aca="false">IF(COUNTIFS('1 · BBDD 2025 (insumo)'!$A$2:$A$29,$A72,'1 · BBDD 2025 (insumo)'!$AB$2:$AB$29,1)&gt;0,1,0)</f>
        <v>0</v>
      </c>
      <c r="D72" s="10" t="n">
        <f aca="false">IF(COUNTIFS('1 · BBDD 2025 (insumo)'!$A$2:$A$29,$A72,'1 · BBDD 2025 (insumo)'!$AC$2:$AC$29,1)&gt;0,1,0)</f>
        <v>0</v>
      </c>
      <c r="E72" s="10" t="n">
        <f aca="false">IF(COUNTIFS('1 · BBDD 2025 (insumo)'!$A$2:$A$29,$A72,'1 · BBDD 2025 (insumo)'!$AD$2:$AD$29,1)&gt;0,1,0)</f>
        <v>0</v>
      </c>
      <c r="F72" s="12" t="n">
        <f aca="false">SUM(B72:E72)</f>
        <v>0</v>
      </c>
    </row>
    <row r="75" customFormat="false" ht="15" hidden="false" customHeight="false" outlineLevel="0" collapsed="false">
      <c r="A75" s="8" t="s">
        <v>267</v>
      </c>
    </row>
    <row r="76" customFormat="false" ht="22.35" hidden="false" customHeight="false" outlineLevel="0" collapsed="false">
      <c r="A76" s="2" t="s">
        <v>0</v>
      </c>
      <c r="B76" s="2" t="s">
        <v>268</v>
      </c>
      <c r="C76" s="2" t="s">
        <v>269</v>
      </c>
      <c r="D76" s="2" t="s">
        <v>261</v>
      </c>
    </row>
    <row r="77" customFormat="false" ht="15" hidden="false" customHeight="false" outlineLevel="0" collapsed="false">
      <c r="A77" s="17" t="s">
        <v>240</v>
      </c>
      <c r="B77" s="10" t="n">
        <f aca="false">IF(COUNTIFS('1 · BBDD 2025 (insumo)'!$A$2:$A$29,$A77,'1 · BBDD 2025 (insumo)'!$AH$2:$AH$29,1)&gt;0,1,0)</f>
        <v>0</v>
      </c>
      <c r="C77" s="10" t="n">
        <f aca="false">IF(COUNTIFS('1 · BBDD 2025 (insumo)'!$A$2:$A$29,$A77,'1 · BBDD 2025 (insumo)'!$AI$2:$AI$29,1)&gt;0,1,0)</f>
        <v>0</v>
      </c>
      <c r="D77" s="12" t="n">
        <f aca="false">SUM(B77:C77)</f>
        <v>0</v>
      </c>
    </row>
    <row r="78" customFormat="false" ht="15" hidden="false" customHeight="false" outlineLevel="0" collapsed="false">
      <c r="A78" s="17" t="s">
        <v>51</v>
      </c>
      <c r="B78" s="10" t="n">
        <f aca="false">IF(COUNTIFS('1 · BBDD 2025 (insumo)'!$A$2:$A$29,$A78,'1 · BBDD 2025 (insumo)'!$AH$2:$AH$29,1)&gt;0,1,0)</f>
        <v>1</v>
      </c>
      <c r="C78" s="10" t="n">
        <f aca="false">IF(COUNTIFS('1 · BBDD 2025 (insumo)'!$A$2:$A$29,$A78,'1 · BBDD 2025 (insumo)'!$AI$2:$AI$29,1)&gt;0,1,0)</f>
        <v>0</v>
      </c>
      <c r="D78" s="12" t="n">
        <f aca="false">SUM(B78:C78)</f>
        <v>1</v>
      </c>
    </row>
    <row r="79" customFormat="false" ht="15" hidden="false" customHeight="false" outlineLevel="0" collapsed="false">
      <c r="A79" s="17" t="s">
        <v>63</v>
      </c>
      <c r="B79" s="10" t="n">
        <f aca="false">IF(COUNTIFS('1 · BBDD 2025 (insumo)'!$A$2:$A$29,$A79,'1 · BBDD 2025 (insumo)'!$AH$2:$AH$29,1)&gt;0,1,0)</f>
        <v>0</v>
      </c>
      <c r="C79" s="10" t="n">
        <f aca="false">IF(COUNTIFS('1 · BBDD 2025 (insumo)'!$A$2:$A$29,$A79,'1 · BBDD 2025 (insumo)'!$AI$2:$AI$29,1)&gt;0,1,0)</f>
        <v>1</v>
      </c>
      <c r="D79" s="12" t="n">
        <f aca="false">SUM(B79:C79)</f>
        <v>1</v>
      </c>
    </row>
    <row r="80" customFormat="false" ht="15" hidden="false" customHeight="false" outlineLevel="0" collapsed="false">
      <c r="A80" s="17" t="s">
        <v>96</v>
      </c>
      <c r="B80" s="10" t="n">
        <f aca="false">IF(COUNTIFS('1 · BBDD 2025 (insumo)'!$A$2:$A$29,$A80,'1 · BBDD 2025 (insumo)'!$AH$2:$AH$29,1)&gt;0,1,0)</f>
        <v>1</v>
      </c>
      <c r="C80" s="10" t="n">
        <f aca="false">IF(COUNTIFS('1 · BBDD 2025 (insumo)'!$A$2:$A$29,$A80,'1 · BBDD 2025 (insumo)'!$AI$2:$AI$29,1)&gt;0,1,0)</f>
        <v>0</v>
      </c>
      <c r="D80" s="12" t="n">
        <f aca="false">SUM(B80:C80)</f>
        <v>1</v>
      </c>
    </row>
    <row r="81" customFormat="false" ht="15" hidden="false" customHeight="false" outlineLevel="0" collapsed="false">
      <c r="A81" s="17" t="s">
        <v>128</v>
      </c>
      <c r="B81" s="10" t="n">
        <f aca="false">IF(COUNTIFS('1 · BBDD 2025 (insumo)'!$A$2:$A$29,$A81,'1 · BBDD 2025 (insumo)'!$AH$2:$AH$29,1)&gt;0,1,0)</f>
        <v>1</v>
      </c>
      <c r="C81" s="10" t="n">
        <f aca="false">IF(COUNTIFS('1 · BBDD 2025 (insumo)'!$A$2:$A$29,$A81,'1 · BBDD 2025 (insumo)'!$AI$2:$AI$29,1)&gt;0,1,0)</f>
        <v>1</v>
      </c>
      <c r="D81" s="12" t="n">
        <f aca="false">SUM(B81:C81)</f>
        <v>2</v>
      </c>
    </row>
    <row r="82" customFormat="false" ht="15" hidden="false" customHeight="false" outlineLevel="0" collapsed="false">
      <c r="A82" s="17" t="s">
        <v>151</v>
      </c>
      <c r="B82" s="10" t="n">
        <f aca="false">IF(COUNTIFS('1 · BBDD 2025 (insumo)'!$A$2:$A$29,$A82,'1 · BBDD 2025 (insumo)'!$AH$2:$AH$29,1)&gt;0,1,0)</f>
        <v>0</v>
      </c>
      <c r="C82" s="10" t="n">
        <f aca="false">IF(COUNTIFS('1 · BBDD 2025 (insumo)'!$A$2:$A$29,$A82,'1 · BBDD 2025 (insumo)'!$AI$2:$AI$29,1)&gt;0,1,0)</f>
        <v>1</v>
      </c>
      <c r="D82" s="12" t="n">
        <f aca="false">SUM(B82:C82)</f>
        <v>1</v>
      </c>
    </row>
    <row r="83" customFormat="false" ht="15" hidden="false" customHeight="false" outlineLevel="0" collapsed="false">
      <c r="A83" s="17" t="s">
        <v>241</v>
      </c>
      <c r="B83" s="10" t="n">
        <f aca="false">IF(COUNTIFS('1 · BBDD 2025 (insumo)'!$A$2:$A$29,$A83,'1 · BBDD 2025 (insumo)'!$AH$2:$AH$29,1)&gt;0,1,0)</f>
        <v>0</v>
      </c>
      <c r="C83" s="10" t="n">
        <f aca="false">IF(COUNTIFS('1 · BBDD 2025 (insumo)'!$A$2:$A$29,$A83,'1 · BBDD 2025 (insumo)'!$AI$2:$AI$29,1)&gt;0,1,0)</f>
        <v>0</v>
      </c>
      <c r="D83" s="12" t="n">
        <f aca="false">SUM(B83:C83)</f>
        <v>0</v>
      </c>
    </row>
    <row r="84" customFormat="false" ht="15" hidden="false" customHeight="false" outlineLevel="0" collapsed="false">
      <c r="A84" s="17" t="s">
        <v>163</v>
      </c>
      <c r="B84" s="10" t="n">
        <f aca="false">IF(COUNTIFS('1 · BBDD 2025 (insumo)'!$A$2:$A$29,$A84,'1 · BBDD 2025 (insumo)'!$AH$2:$AH$29,1)&gt;0,1,0)</f>
        <v>0</v>
      </c>
      <c r="C84" s="10" t="n">
        <f aca="false">IF(COUNTIFS('1 · BBDD 2025 (insumo)'!$A$2:$A$29,$A84,'1 · BBDD 2025 (insumo)'!$AI$2:$AI$29,1)&gt;0,1,0)</f>
        <v>1</v>
      </c>
      <c r="D84" s="12" t="n">
        <f aca="false">SUM(B84:C84)</f>
        <v>1</v>
      </c>
    </row>
    <row r="85" customFormat="false" ht="15" hidden="false" customHeight="false" outlineLevel="0" collapsed="false">
      <c r="A85" s="17" t="s">
        <v>170</v>
      </c>
      <c r="B85" s="10" t="n">
        <f aca="false">IF(COUNTIFS('1 · BBDD 2025 (insumo)'!$A$2:$A$29,$A85,'1 · BBDD 2025 (insumo)'!$AH$2:$AH$29,1)&gt;0,1,0)</f>
        <v>0</v>
      </c>
      <c r="C85" s="10" t="n">
        <f aca="false">IF(COUNTIFS('1 · BBDD 2025 (insumo)'!$A$2:$A$29,$A85,'1 · BBDD 2025 (insumo)'!$AI$2:$AI$29,1)&gt;0,1,0)</f>
        <v>1</v>
      </c>
      <c r="D85" s="12" t="n">
        <f aca="false">SUM(B85:C85)</f>
        <v>1</v>
      </c>
    </row>
    <row r="86" customFormat="false" ht="15" hidden="false" customHeight="false" outlineLevel="0" collapsed="false">
      <c r="A86" s="17" t="s">
        <v>177</v>
      </c>
      <c r="B86" s="10" t="n">
        <f aca="false">IF(COUNTIFS('1 · BBDD 2025 (insumo)'!$A$2:$A$29,$A86,'1 · BBDD 2025 (insumo)'!$AH$2:$AH$29,1)&gt;0,1,0)</f>
        <v>1</v>
      </c>
      <c r="C86" s="10" t="n">
        <f aca="false">IF(COUNTIFS('1 · BBDD 2025 (insumo)'!$A$2:$A$29,$A86,'1 · BBDD 2025 (insumo)'!$AI$2:$AI$29,1)&gt;0,1,0)</f>
        <v>0</v>
      </c>
      <c r="D86" s="12" t="n">
        <f aca="false">SUM(B86:C86)</f>
        <v>1</v>
      </c>
    </row>
    <row r="87" customFormat="false" ht="15" hidden="false" customHeight="false" outlineLevel="0" collapsed="false">
      <c r="A87" s="17" t="s">
        <v>183</v>
      </c>
      <c r="B87" s="10" t="n">
        <f aca="false">IF(COUNTIFS('1 · BBDD 2025 (insumo)'!$A$2:$A$29,$A87,'1 · BBDD 2025 (insumo)'!$AH$2:$AH$29,1)&gt;0,1,0)</f>
        <v>1</v>
      </c>
      <c r="C87" s="10" t="n">
        <f aca="false">IF(COUNTIFS('1 · BBDD 2025 (insumo)'!$A$2:$A$29,$A87,'1 · BBDD 2025 (insumo)'!$AI$2:$AI$29,1)&gt;0,1,0)</f>
        <v>0</v>
      </c>
      <c r="D87" s="12" t="n">
        <f aca="false">SUM(B87:C87)</f>
        <v>1</v>
      </c>
    </row>
    <row r="88" customFormat="false" ht="15" hidden="false" customHeight="false" outlineLevel="0" collapsed="false">
      <c r="A88" s="17" t="s">
        <v>242</v>
      </c>
      <c r="B88" s="10" t="n">
        <f aca="false">IF(COUNTIFS('1 · BBDD 2025 (insumo)'!$A$2:$A$29,$A88,'1 · BBDD 2025 (insumo)'!$AH$2:$AH$29,1)&gt;0,1,0)</f>
        <v>0</v>
      </c>
      <c r="C88" s="10" t="n">
        <f aca="false">IF(COUNTIFS('1 · BBDD 2025 (insumo)'!$A$2:$A$29,$A88,'1 · BBDD 2025 (insumo)'!$AI$2:$AI$29,1)&gt;0,1,0)</f>
        <v>0</v>
      </c>
      <c r="D88" s="12" t="n">
        <f aca="false">SUM(B88:C88)</f>
        <v>0</v>
      </c>
    </row>
    <row r="89" customFormat="false" ht="15" hidden="false" customHeight="false" outlineLevel="0" collapsed="false">
      <c r="A89" s="17" t="s">
        <v>190</v>
      </c>
      <c r="B89" s="10" t="n">
        <f aca="false">IF(COUNTIFS('1 · BBDD 2025 (insumo)'!$A$2:$A$29,$A89,'1 · BBDD 2025 (insumo)'!$AH$2:$AH$29,1)&gt;0,1,0)</f>
        <v>1</v>
      </c>
      <c r="C89" s="10" t="n">
        <f aca="false">IF(COUNTIFS('1 · BBDD 2025 (insumo)'!$A$2:$A$29,$A89,'1 · BBDD 2025 (insumo)'!$AI$2:$AI$29,1)&gt;0,1,0)</f>
        <v>1</v>
      </c>
      <c r="D89" s="12" t="n">
        <f aca="false">SUM(B89:C89)</f>
        <v>2</v>
      </c>
    </row>
    <row r="90" customFormat="false" ht="15" hidden="false" customHeight="false" outlineLevel="0" collapsed="false">
      <c r="A90" s="17" t="s">
        <v>243</v>
      </c>
      <c r="B90" s="10" t="n">
        <f aca="false">IF(COUNTIFS('1 · BBDD 2025 (insumo)'!$A$2:$A$29,$A90,'1 · BBDD 2025 (insumo)'!$AH$2:$AH$29,1)&gt;0,1,0)</f>
        <v>0</v>
      </c>
      <c r="C90" s="10" t="n">
        <f aca="false">IF(COUNTIFS('1 · BBDD 2025 (insumo)'!$A$2:$A$29,$A90,'1 · BBDD 2025 (insumo)'!$AI$2:$AI$29,1)&gt;0,1,0)</f>
        <v>0</v>
      </c>
      <c r="D90" s="12" t="n">
        <f aca="false">SUM(B90:C90)</f>
        <v>0</v>
      </c>
    </row>
    <row r="91" customFormat="false" ht="15" hidden="false" customHeight="false" outlineLevel="0" collapsed="false">
      <c r="A91" s="17" t="s">
        <v>200</v>
      </c>
      <c r="B91" s="10" t="n">
        <f aca="false">IF(COUNTIFS('1 · BBDD 2025 (insumo)'!$A$2:$A$29,$A91,'1 · BBDD 2025 (insumo)'!$AH$2:$AH$29,1)&gt;0,1,0)</f>
        <v>1</v>
      </c>
      <c r="C91" s="10" t="n">
        <f aca="false">IF(COUNTIFS('1 · BBDD 2025 (insumo)'!$A$2:$A$29,$A91,'1 · BBDD 2025 (insumo)'!$AI$2:$AI$29,1)&gt;0,1,0)</f>
        <v>1</v>
      </c>
      <c r="D91" s="12" t="n">
        <f aca="false">SUM(B91:C91)</f>
        <v>2</v>
      </c>
    </row>
    <row r="92" customFormat="false" ht="15" hidden="false" customHeight="false" outlineLevel="0" collapsed="false">
      <c r="A92" s="17" t="s">
        <v>244</v>
      </c>
      <c r="B92" s="10" t="n">
        <f aca="false">IF(COUNTIFS('1 · BBDD 2025 (insumo)'!$A$2:$A$29,$A92,'1 · BBDD 2025 (insumo)'!$AH$2:$AH$29,1)&gt;0,1,0)</f>
        <v>0</v>
      </c>
      <c r="C92" s="10" t="n">
        <f aca="false">IF(COUNTIFS('1 · BBDD 2025 (insumo)'!$A$2:$A$29,$A92,'1 · BBDD 2025 (insumo)'!$AI$2:$AI$29,1)&gt;0,1,0)</f>
        <v>0</v>
      </c>
      <c r="D92" s="12" t="n">
        <f aca="false">SUM(B92:C92)</f>
        <v>0</v>
      </c>
    </row>
    <row r="93" customFormat="false" ht="15" hidden="false" customHeight="false" outlineLevel="0" collapsed="false">
      <c r="A93" s="17" t="s">
        <v>245</v>
      </c>
      <c r="B93" s="10" t="n">
        <f aca="false">IF(COUNTIFS('1 · BBDD 2025 (insumo)'!$A$2:$A$29,$A93,'1 · BBDD 2025 (insumo)'!$AH$2:$AH$29,1)&gt;0,1,0)</f>
        <v>0</v>
      </c>
      <c r="C93" s="10" t="n">
        <f aca="false">IF(COUNTIFS('1 · BBDD 2025 (insumo)'!$A$2:$A$29,$A93,'1 · BBDD 2025 (insumo)'!$AI$2:$AI$29,1)&gt;0,1,0)</f>
        <v>0</v>
      </c>
      <c r="D93" s="12" t="n">
        <f aca="false">SUM(B93:C93)</f>
        <v>0</v>
      </c>
    </row>
    <row r="94" customFormat="false" ht="15" hidden="false" customHeight="false" outlineLevel="0" collapsed="false">
      <c r="A94" s="17" t="s">
        <v>246</v>
      </c>
      <c r="B94" s="10" t="n">
        <f aca="false">IF(COUNTIFS('1 · BBDD 2025 (insumo)'!$A$2:$A$29,$A94,'1 · BBDD 2025 (insumo)'!$AH$2:$AH$29,1)&gt;0,1,0)</f>
        <v>0</v>
      </c>
      <c r="C94" s="10" t="n">
        <f aca="false">IF(COUNTIFS('1 · BBDD 2025 (insumo)'!$A$2:$A$29,$A94,'1 · BBDD 2025 (insumo)'!$AI$2:$AI$29,1)&gt;0,1,0)</f>
        <v>0</v>
      </c>
      <c r="D94" s="12" t="n">
        <f aca="false">SUM(B94:C94)</f>
        <v>0</v>
      </c>
    </row>
    <row r="95" customFormat="false" ht="15" hidden="false" customHeight="false" outlineLevel="0" collapsed="false">
      <c r="A95" s="17" t="s">
        <v>248</v>
      </c>
      <c r="B95" s="10" t="n">
        <f aca="false">IF(COUNTIFS('1 · BBDD 2025 (insumo)'!$A$2:$A$29,$A95,'1 · BBDD 2025 (insumo)'!$AH$2:$AH$29,1)&gt;0,1,0)</f>
        <v>0</v>
      </c>
      <c r="C95" s="10" t="n">
        <f aca="false">IF(COUNTIFS('1 · BBDD 2025 (insumo)'!$A$2:$A$29,$A95,'1 · BBDD 2025 (insumo)'!$AI$2:$AI$29,1)&gt;0,1,0)</f>
        <v>0</v>
      </c>
      <c r="D95" s="12" t="n">
        <f aca="false">SUM(B95:C95)</f>
        <v>0</v>
      </c>
    </row>
    <row r="96" customFormat="false" ht="15" hidden="false" customHeight="false" outlineLevel="0" collapsed="false">
      <c r="A96" s="17" t="s">
        <v>249</v>
      </c>
      <c r="B96" s="10" t="n">
        <f aca="false">IF(COUNTIFS('1 · BBDD 2025 (insumo)'!$A$2:$A$29,$A96,'1 · BBDD 2025 (insumo)'!$AH$2:$AH$29,1)&gt;0,1,0)</f>
        <v>0</v>
      </c>
      <c r="C96" s="10" t="n">
        <f aca="false">IF(COUNTIFS('1 · BBDD 2025 (insumo)'!$A$2:$A$29,$A96,'1 · BBDD 2025 (insumo)'!$AI$2:$AI$29,1)&gt;0,1,0)</f>
        <v>0</v>
      </c>
      <c r="D96" s="12" t="n">
        <f aca="false">SUM(B96:C96)</f>
        <v>0</v>
      </c>
    </row>
    <row r="99" customFormat="false" ht="15" hidden="false" customHeight="false" outlineLevel="0" collapsed="false">
      <c r="A99" s="8" t="s">
        <v>270</v>
      </c>
    </row>
    <row r="100" customFormat="false" ht="15" hidden="false" customHeight="false" outlineLevel="0" collapsed="false">
      <c r="A100" s="2" t="s">
        <v>0</v>
      </c>
      <c r="B100" s="2" t="s">
        <v>271</v>
      </c>
      <c r="C100" s="2" t="s">
        <v>272</v>
      </c>
      <c r="D100" s="2" t="s">
        <v>273</v>
      </c>
      <c r="E100" s="2" t="s">
        <v>261</v>
      </c>
    </row>
    <row r="101" customFormat="false" ht="15" hidden="false" customHeight="false" outlineLevel="0" collapsed="false">
      <c r="A101" s="17" t="s">
        <v>240</v>
      </c>
      <c r="B101" s="10" t="n">
        <f aca="false">IF(COUNTIFS('1 · BBDD 2025 (insumo)'!$A$2:$A$29,$A101,'1 · BBDD 2025 (insumo)'!$AE$2:$AE$29,1)&gt;0,1,0)</f>
        <v>0</v>
      </c>
      <c r="C101" s="10" t="n">
        <f aca="false">IF(COUNTIFS('1 · BBDD 2025 (insumo)'!$A$2:$A$29,$A101,'1 · BBDD 2025 (insumo)'!$AF$2:$AF$29,1)&gt;0,1,0)</f>
        <v>0</v>
      </c>
      <c r="D101" s="10" t="n">
        <f aca="false">IF(COUNTIFS('1 · BBDD 2025 (insumo)'!$A$2:$A$29,$A101,'1 · BBDD 2025 (insumo)'!$AG$2:$AG$29,1)&gt;0,1,0)</f>
        <v>0</v>
      </c>
      <c r="E101" s="12" t="n">
        <f aca="false">SUM(B101:D101)</f>
        <v>0</v>
      </c>
    </row>
    <row r="102" customFormat="false" ht="15" hidden="false" customHeight="false" outlineLevel="0" collapsed="false">
      <c r="A102" s="17" t="s">
        <v>51</v>
      </c>
      <c r="B102" s="10" t="n">
        <f aca="false">IF(COUNTIFS('1 · BBDD 2025 (insumo)'!$A$2:$A$29,$A102,'1 · BBDD 2025 (insumo)'!$AE$2:$AE$29,1)&gt;0,1,0)</f>
        <v>1</v>
      </c>
      <c r="C102" s="10" t="n">
        <f aca="false">IF(COUNTIFS('1 · BBDD 2025 (insumo)'!$A$2:$A$29,$A102,'1 · BBDD 2025 (insumo)'!$AF$2:$AF$29,1)&gt;0,1,0)</f>
        <v>0</v>
      </c>
      <c r="D102" s="10" t="n">
        <f aca="false">IF(COUNTIFS('1 · BBDD 2025 (insumo)'!$A$2:$A$29,$A102,'1 · BBDD 2025 (insumo)'!$AG$2:$AG$29,1)&gt;0,1,0)</f>
        <v>0</v>
      </c>
      <c r="E102" s="12" t="n">
        <f aca="false">SUM(B102:D102)</f>
        <v>1</v>
      </c>
    </row>
    <row r="103" customFormat="false" ht="15" hidden="false" customHeight="false" outlineLevel="0" collapsed="false">
      <c r="A103" s="17" t="s">
        <v>63</v>
      </c>
      <c r="B103" s="10" t="n">
        <f aca="false">IF(COUNTIFS('1 · BBDD 2025 (insumo)'!$A$2:$A$29,$A103,'1 · BBDD 2025 (insumo)'!$AE$2:$AE$29,1)&gt;0,1,0)</f>
        <v>1</v>
      </c>
      <c r="C103" s="10" t="n">
        <f aca="false">IF(COUNTIFS('1 · BBDD 2025 (insumo)'!$A$2:$A$29,$A103,'1 · BBDD 2025 (insumo)'!$AF$2:$AF$29,1)&gt;0,1,0)</f>
        <v>1</v>
      </c>
      <c r="D103" s="10" t="n">
        <f aca="false">IF(COUNTIFS('1 · BBDD 2025 (insumo)'!$A$2:$A$29,$A103,'1 · BBDD 2025 (insumo)'!$AG$2:$AG$29,1)&gt;0,1,0)</f>
        <v>0</v>
      </c>
      <c r="E103" s="12" t="n">
        <f aca="false">SUM(B103:D103)</f>
        <v>2</v>
      </c>
    </row>
    <row r="104" customFormat="false" ht="15" hidden="false" customHeight="false" outlineLevel="0" collapsed="false">
      <c r="A104" s="17" t="s">
        <v>96</v>
      </c>
      <c r="B104" s="10" t="n">
        <f aca="false">IF(COUNTIFS('1 · BBDD 2025 (insumo)'!$A$2:$A$29,$A104,'1 · BBDD 2025 (insumo)'!$AE$2:$AE$29,1)&gt;0,1,0)</f>
        <v>1</v>
      </c>
      <c r="C104" s="10" t="n">
        <f aca="false">IF(COUNTIFS('1 · BBDD 2025 (insumo)'!$A$2:$A$29,$A104,'1 · BBDD 2025 (insumo)'!$AF$2:$AF$29,1)&gt;0,1,0)</f>
        <v>1</v>
      </c>
      <c r="D104" s="10" t="n">
        <f aca="false">IF(COUNTIFS('1 · BBDD 2025 (insumo)'!$A$2:$A$29,$A104,'1 · BBDD 2025 (insumo)'!$AG$2:$AG$29,1)&gt;0,1,0)</f>
        <v>1</v>
      </c>
      <c r="E104" s="12" t="n">
        <f aca="false">SUM(B104:D104)</f>
        <v>3</v>
      </c>
    </row>
    <row r="105" customFormat="false" ht="15" hidden="false" customHeight="false" outlineLevel="0" collapsed="false">
      <c r="A105" s="17" t="s">
        <v>128</v>
      </c>
      <c r="B105" s="10" t="n">
        <f aca="false">IF(COUNTIFS('1 · BBDD 2025 (insumo)'!$A$2:$A$29,$A105,'1 · BBDD 2025 (insumo)'!$AE$2:$AE$29,1)&gt;0,1,0)</f>
        <v>1</v>
      </c>
      <c r="C105" s="10" t="n">
        <f aca="false">IF(COUNTIFS('1 · BBDD 2025 (insumo)'!$A$2:$A$29,$A105,'1 · BBDD 2025 (insumo)'!$AF$2:$AF$29,1)&gt;0,1,0)</f>
        <v>0</v>
      </c>
      <c r="D105" s="10" t="n">
        <f aca="false">IF(COUNTIFS('1 · BBDD 2025 (insumo)'!$A$2:$A$29,$A105,'1 · BBDD 2025 (insumo)'!$AG$2:$AG$29,1)&gt;0,1,0)</f>
        <v>1</v>
      </c>
      <c r="E105" s="12" t="n">
        <f aca="false">SUM(B105:D105)</f>
        <v>2</v>
      </c>
    </row>
    <row r="106" customFormat="false" ht="15" hidden="false" customHeight="false" outlineLevel="0" collapsed="false">
      <c r="A106" s="17" t="s">
        <v>151</v>
      </c>
      <c r="B106" s="10" t="n">
        <f aca="false">IF(COUNTIFS('1 · BBDD 2025 (insumo)'!$A$2:$A$29,$A106,'1 · BBDD 2025 (insumo)'!$AE$2:$AE$29,1)&gt;0,1,0)</f>
        <v>1</v>
      </c>
      <c r="C106" s="10" t="n">
        <f aca="false">IF(COUNTIFS('1 · BBDD 2025 (insumo)'!$A$2:$A$29,$A106,'1 · BBDD 2025 (insumo)'!$AF$2:$AF$29,1)&gt;0,1,0)</f>
        <v>0</v>
      </c>
      <c r="D106" s="10" t="n">
        <f aca="false">IF(COUNTIFS('1 · BBDD 2025 (insumo)'!$A$2:$A$29,$A106,'1 · BBDD 2025 (insumo)'!$AG$2:$AG$29,1)&gt;0,1,0)</f>
        <v>0</v>
      </c>
      <c r="E106" s="12" t="n">
        <f aca="false">SUM(B106:D106)</f>
        <v>1</v>
      </c>
    </row>
    <row r="107" customFormat="false" ht="15" hidden="false" customHeight="false" outlineLevel="0" collapsed="false">
      <c r="A107" s="17" t="s">
        <v>241</v>
      </c>
      <c r="B107" s="10" t="n">
        <f aca="false">IF(COUNTIFS('1 · BBDD 2025 (insumo)'!$A$2:$A$29,$A107,'1 · BBDD 2025 (insumo)'!$AE$2:$AE$29,1)&gt;0,1,0)</f>
        <v>0</v>
      </c>
      <c r="C107" s="10" t="n">
        <f aca="false">IF(COUNTIFS('1 · BBDD 2025 (insumo)'!$A$2:$A$29,$A107,'1 · BBDD 2025 (insumo)'!$AF$2:$AF$29,1)&gt;0,1,0)</f>
        <v>0</v>
      </c>
      <c r="D107" s="10" t="n">
        <f aca="false">IF(COUNTIFS('1 · BBDD 2025 (insumo)'!$A$2:$A$29,$A107,'1 · BBDD 2025 (insumo)'!$AG$2:$AG$29,1)&gt;0,1,0)</f>
        <v>0</v>
      </c>
      <c r="E107" s="12" t="n">
        <f aca="false">SUM(B107:D107)</f>
        <v>0</v>
      </c>
    </row>
    <row r="108" customFormat="false" ht="15" hidden="false" customHeight="false" outlineLevel="0" collapsed="false">
      <c r="A108" s="17" t="s">
        <v>163</v>
      </c>
      <c r="B108" s="10" t="n">
        <f aca="false">IF(COUNTIFS('1 · BBDD 2025 (insumo)'!$A$2:$A$29,$A108,'1 · BBDD 2025 (insumo)'!$AE$2:$AE$29,1)&gt;0,1,0)</f>
        <v>0</v>
      </c>
      <c r="C108" s="10" t="n">
        <f aca="false">IF(COUNTIFS('1 · BBDD 2025 (insumo)'!$A$2:$A$29,$A108,'1 · BBDD 2025 (insumo)'!$AF$2:$AF$29,1)&gt;0,1,0)</f>
        <v>0</v>
      </c>
      <c r="D108" s="10" t="n">
        <f aca="false">IF(COUNTIFS('1 · BBDD 2025 (insumo)'!$A$2:$A$29,$A108,'1 · BBDD 2025 (insumo)'!$AG$2:$AG$29,1)&gt;0,1,0)</f>
        <v>1</v>
      </c>
      <c r="E108" s="12" t="n">
        <f aca="false">SUM(B108:D108)</f>
        <v>1</v>
      </c>
    </row>
    <row r="109" customFormat="false" ht="15" hidden="false" customHeight="false" outlineLevel="0" collapsed="false">
      <c r="A109" s="17" t="s">
        <v>170</v>
      </c>
      <c r="B109" s="10" t="n">
        <f aca="false">IF(COUNTIFS('1 · BBDD 2025 (insumo)'!$A$2:$A$29,$A109,'1 · BBDD 2025 (insumo)'!$AE$2:$AE$29,1)&gt;0,1,0)</f>
        <v>0</v>
      </c>
      <c r="C109" s="10" t="n">
        <f aca="false">IF(COUNTIFS('1 · BBDD 2025 (insumo)'!$A$2:$A$29,$A109,'1 · BBDD 2025 (insumo)'!$AF$2:$AF$29,1)&gt;0,1,0)</f>
        <v>0</v>
      </c>
      <c r="D109" s="10" t="n">
        <f aca="false">IF(COUNTIFS('1 · BBDD 2025 (insumo)'!$A$2:$A$29,$A109,'1 · BBDD 2025 (insumo)'!$AG$2:$AG$29,1)&gt;0,1,0)</f>
        <v>1</v>
      </c>
      <c r="E109" s="12" t="n">
        <f aca="false">SUM(B109:D109)</f>
        <v>1</v>
      </c>
    </row>
    <row r="110" customFormat="false" ht="15" hidden="false" customHeight="false" outlineLevel="0" collapsed="false">
      <c r="A110" s="17" t="s">
        <v>177</v>
      </c>
      <c r="B110" s="10" t="n">
        <f aca="false">IF(COUNTIFS('1 · BBDD 2025 (insumo)'!$A$2:$A$29,$A110,'1 · BBDD 2025 (insumo)'!$AE$2:$AE$29,1)&gt;0,1,0)</f>
        <v>0</v>
      </c>
      <c r="C110" s="10" t="n">
        <f aca="false">IF(COUNTIFS('1 · BBDD 2025 (insumo)'!$A$2:$A$29,$A110,'1 · BBDD 2025 (insumo)'!$AF$2:$AF$29,1)&gt;0,1,0)</f>
        <v>0</v>
      </c>
      <c r="D110" s="10" t="n">
        <f aca="false">IF(COUNTIFS('1 · BBDD 2025 (insumo)'!$A$2:$A$29,$A110,'1 · BBDD 2025 (insumo)'!$AG$2:$AG$29,1)&gt;0,1,0)</f>
        <v>1</v>
      </c>
      <c r="E110" s="12" t="n">
        <f aca="false">SUM(B110:D110)</f>
        <v>1</v>
      </c>
    </row>
    <row r="111" customFormat="false" ht="15" hidden="false" customHeight="false" outlineLevel="0" collapsed="false">
      <c r="A111" s="17" t="s">
        <v>183</v>
      </c>
      <c r="B111" s="10" t="n">
        <f aca="false">IF(COUNTIFS('1 · BBDD 2025 (insumo)'!$A$2:$A$29,$A111,'1 · BBDD 2025 (insumo)'!$AE$2:$AE$29,1)&gt;0,1,0)</f>
        <v>1</v>
      </c>
      <c r="C111" s="10" t="n">
        <f aca="false">IF(COUNTIFS('1 · BBDD 2025 (insumo)'!$A$2:$A$29,$A111,'1 · BBDD 2025 (insumo)'!$AF$2:$AF$29,1)&gt;0,1,0)</f>
        <v>0</v>
      </c>
      <c r="D111" s="10" t="n">
        <f aca="false">IF(COUNTIFS('1 · BBDD 2025 (insumo)'!$A$2:$A$29,$A111,'1 · BBDD 2025 (insumo)'!$AG$2:$AG$29,1)&gt;0,1,0)</f>
        <v>0</v>
      </c>
      <c r="E111" s="12" t="n">
        <f aca="false">SUM(B111:D111)</f>
        <v>1</v>
      </c>
    </row>
    <row r="112" customFormat="false" ht="15" hidden="false" customHeight="false" outlineLevel="0" collapsed="false">
      <c r="A112" s="17" t="s">
        <v>242</v>
      </c>
      <c r="B112" s="10" t="n">
        <f aca="false">IF(COUNTIFS('1 · BBDD 2025 (insumo)'!$A$2:$A$29,$A112,'1 · BBDD 2025 (insumo)'!$AE$2:$AE$29,1)&gt;0,1,0)</f>
        <v>0</v>
      </c>
      <c r="C112" s="10" t="n">
        <f aca="false">IF(COUNTIFS('1 · BBDD 2025 (insumo)'!$A$2:$A$29,$A112,'1 · BBDD 2025 (insumo)'!$AF$2:$AF$29,1)&gt;0,1,0)</f>
        <v>0</v>
      </c>
      <c r="D112" s="10" t="n">
        <f aca="false">IF(COUNTIFS('1 · BBDD 2025 (insumo)'!$A$2:$A$29,$A112,'1 · BBDD 2025 (insumo)'!$AG$2:$AG$29,1)&gt;0,1,0)</f>
        <v>0</v>
      </c>
      <c r="E112" s="12" t="n">
        <f aca="false">SUM(B112:D112)</f>
        <v>0</v>
      </c>
    </row>
    <row r="113" customFormat="false" ht="15" hidden="false" customHeight="false" outlineLevel="0" collapsed="false">
      <c r="A113" s="17" t="s">
        <v>190</v>
      </c>
      <c r="B113" s="10" t="n">
        <f aca="false">IF(COUNTIFS('1 · BBDD 2025 (insumo)'!$A$2:$A$29,$A113,'1 · BBDD 2025 (insumo)'!$AE$2:$AE$29,1)&gt;0,1,0)</f>
        <v>1</v>
      </c>
      <c r="C113" s="10" t="n">
        <f aca="false">IF(COUNTIFS('1 · BBDD 2025 (insumo)'!$A$2:$A$29,$A113,'1 · BBDD 2025 (insumo)'!$AF$2:$AF$29,1)&gt;0,1,0)</f>
        <v>1</v>
      </c>
      <c r="D113" s="10" t="n">
        <f aca="false">IF(COUNTIFS('1 · BBDD 2025 (insumo)'!$A$2:$A$29,$A113,'1 · BBDD 2025 (insumo)'!$AG$2:$AG$29,1)&gt;0,1,0)</f>
        <v>0</v>
      </c>
      <c r="E113" s="12" t="n">
        <f aca="false">SUM(B113:D113)</f>
        <v>2</v>
      </c>
    </row>
    <row r="114" customFormat="false" ht="15" hidden="false" customHeight="false" outlineLevel="0" collapsed="false">
      <c r="A114" s="17" t="s">
        <v>243</v>
      </c>
      <c r="B114" s="10" t="n">
        <f aca="false">IF(COUNTIFS('1 · BBDD 2025 (insumo)'!$A$2:$A$29,$A114,'1 · BBDD 2025 (insumo)'!$AE$2:$AE$29,1)&gt;0,1,0)</f>
        <v>0</v>
      </c>
      <c r="C114" s="10" t="n">
        <f aca="false">IF(COUNTIFS('1 · BBDD 2025 (insumo)'!$A$2:$A$29,$A114,'1 · BBDD 2025 (insumo)'!$AF$2:$AF$29,1)&gt;0,1,0)</f>
        <v>0</v>
      </c>
      <c r="D114" s="10" t="n">
        <f aca="false">IF(COUNTIFS('1 · BBDD 2025 (insumo)'!$A$2:$A$29,$A114,'1 · BBDD 2025 (insumo)'!$AG$2:$AG$29,1)&gt;0,1,0)</f>
        <v>0</v>
      </c>
      <c r="E114" s="12" t="n">
        <f aca="false">SUM(B114:D114)</f>
        <v>0</v>
      </c>
    </row>
    <row r="115" customFormat="false" ht="15" hidden="false" customHeight="false" outlineLevel="0" collapsed="false">
      <c r="A115" s="17" t="s">
        <v>200</v>
      </c>
      <c r="B115" s="10" t="n">
        <f aca="false">IF(COUNTIFS('1 · BBDD 2025 (insumo)'!$A$2:$A$29,$A115,'1 · BBDD 2025 (insumo)'!$AE$2:$AE$29,1)&gt;0,1,0)</f>
        <v>1</v>
      </c>
      <c r="C115" s="10" t="n">
        <f aca="false">IF(COUNTIFS('1 · BBDD 2025 (insumo)'!$A$2:$A$29,$A115,'1 · BBDD 2025 (insumo)'!$AF$2:$AF$29,1)&gt;0,1,0)</f>
        <v>0</v>
      </c>
      <c r="D115" s="10" t="n">
        <f aca="false">IF(COUNTIFS('1 · BBDD 2025 (insumo)'!$A$2:$A$29,$A115,'1 · BBDD 2025 (insumo)'!$AG$2:$AG$29,1)&gt;0,1,0)</f>
        <v>0</v>
      </c>
      <c r="E115" s="12" t="n">
        <f aca="false">SUM(B115:D115)</f>
        <v>1</v>
      </c>
    </row>
    <row r="116" customFormat="false" ht="15" hidden="false" customHeight="false" outlineLevel="0" collapsed="false">
      <c r="A116" s="17" t="s">
        <v>244</v>
      </c>
      <c r="B116" s="10" t="n">
        <f aca="false">IF(COUNTIFS('1 · BBDD 2025 (insumo)'!$A$2:$A$29,$A116,'1 · BBDD 2025 (insumo)'!$AE$2:$AE$29,1)&gt;0,1,0)</f>
        <v>0</v>
      </c>
      <c r="C116" s="10" t="n">
        <f aca="false">IF(COUNTIFS('1 · BBDD 2025 (insumo)'!$A$2:$A$29,$A116,'1 · BBDD 2025 (insumo)'!$AF$2:$AF$29,1)&gt;0,1,0)</f>
        <v>0</v>
      </c>
      <c r="D116" s="10" t="n">
        <f aca="false">IF(COUNTIFS('1 · BBDD 2025 (insumo)'!$A$2:$A$29,$A116,'1 · BBDD 2025 (insumo)'!$AG$2:$AG$29,1)&gt;0,1,0)</f>
        <v>0</v>
      </c>
      <c r="E116" s="12" t="n">
        <f aca="false">SUM(B116:D116)</f>
        <v>0</v>
      </c>
    </row>
    <row r="117" customFormat="false" ht="15" hidden="false" customHeight="false" outlineLevel="0" collapsed="false">
      <c r="A117" s="17" t="s">
        <v>245</v>
      </c>
      <c r="B117" s="10" t="n">
        <f aca="false">IF(COUNTIFS('1 · BBDD 2025 (insumo)'!$A$2:$A$29,$A117,'1 · BBDD 2025 (insumo)'!$AE$2:$AE$29,1)&gt;0,1,0)</f>
        <v>0</v>
      </c>
      <c r="C117" s="10" t="n">
        <f aca="false">IF(COUNTIFS('1 · BBDD 2025 (insumo)'!$A$2:$A$29,$A117,'1 · BBDD 2025 (insumo)'!$AF$2:$AF$29,1)&gt;0,1,0)</f>
        <v>0</v>
      </c>
      <c r="D117" s="10" t="n">
        <f aca="false">IF(COUNTIFS('1 · BBDD 2025 (insumo)'!$A$2:$A$29,$A117,'1 · BBDD 2025 (insumo)'!$AG$2:$AG$29,1)&gt;0,1,0)</f>
        <v>0</v>
      </c>
      <c r="E117" s="12" t="n">
        <f aca="false">SUM(B117:D117)</f>
        <v>0</v>
      </c>
    </row>
    <row r="118" customFormat="false" ht="15" hidden="false" customHeight="false" outlineLevel="0" collapsed="false">
      <c r="A118" s="17" t="s">
        <v>246</v>
      </c>
      <c r="B118" s="10" t="n">
        <f aca="false">IF(COUNTIFS('1 · BBDD 2025 (insumo)'!$A$2:$A$29,$A118,'1 · BBDD 2025 (insumo)'!$AE$2:$AE$29,1)&gt;0,1,0)</f>
        <v>0</v>
      </c>
      <c r="C118" s="10" t="n">
        <f aca="false">IF(COUNTIFS('1 · BBDD 2025 (insumo)'!$A$2:$A$29,$A118,'1 · BBDD 2025 (insumo)'!$AF$2:$AF$29,1)&gt;0,1,0)</f>
        <v>0</v>
      </c>
      <c r="D118" s="10" t="n">
        <f aca="false">IF(COUNTIFS('1 · BBDD 2025 (insumo)'!$A$2:$A$29,$A118,'1 · BBDD 2025 (insumo)'!$AG$2:$AG$29,1)&gt;0,1,0)</f>
        <v>0</v>
      </c>
      <c r="E118" s="12" t="n">
        <f aca="false">SUM(B118:D118)</f>
        <v>0</v>
      </c>
    </row>
    <row r="119" customFormat="false" ht="15" hidden="false" customHeight="false" outlineLevel="0" collapsed="false">
      <c r="A119" s="17" t="s">
        <v>248</v>
      </c>
      <c r="B119" s="10" t="n">
        <f aca="false">IF(COUNTIFS('1 · BBDD 2025 (insumo)'!$A$2:$A$29,$A119,'1 · BBDD 2025 (insumo)'!$AE$2:$AE$29,1)&gt;0,1,0)</f>
        <v>0</v>
      </c>
      <c r="C119" s="10" t="n">
        <f aca="false">IF(COUNTIFS('1 · BBDD 2025 (insumo)'!$A$2:$A$29,$A119,'1 · BBDD 2025 (insumo)'!$AF$2:$AF$29,1)&gt;0,1,0)</f>
        <v>0</v>
      </c>
      <c r="D119" s="10" t="n">
        <f aca="false">IF(COUNTIFS('1 · BBDD 2025 (insumo)'!$A$2:$A$29,$A119,'1 · BBDD 2025 (insumo)'!$AG$2:$AG$29,1)&gt;0,1,0)</f>
        <v>0</v>
      </c>
      <c r="E119" s="12" t="n">
        <f aca="false">SUM(B119:D119)</f>
        <v>0</v>
      </c>
    </row>
    <row r="120" customFormat="false" ht="15" hidden="false" customHeight="false" outlineLevel="0" collapsed="false">
      <c r="A120" s="17" t="s">
        <v>249</v>
      </c>
      <c r="B120" s="10" t="n">
        <f aca="false">IF(COUNTIFS('1 · BBDD 2025 (insumo)'!$A$2:$A$29,$A120,'1 · BBDD 2025 (insumo)'!$AE$2:$AE$29,1)&gt;0,1,0)</f>
        <v>0</v>
      </c>
      <c r="C120" s="10" t="n">
        <f aca="false">IF(COUNTIFS('1 · BBDD 2025 (insumo)'!$A$2:$A$29,$A120,'1 · BBDD 2025 (insumo)'!$AF$2:$AF$29,1)&gt;0,1,0)</f>
        <v>0</v>
      </c>
      <c r="D120" s="10" t="n">
        <f aca="false">IF(COUNTIFS('1 · BBDD 2025 (insumo)'!$A$2:$A$29,$A120,'1 · BBDD 2025 (insumo)'!$AG$2:$AG$29,1)&gt;0,1,0)</f>
        <v>0</v>
      </c>
      <c r="E120" s="12" t="n">
        <f aca="false">SUM(B120:D120)</f>
        <v>0</v>
      </c>
    </row>
    <row r="123" customFormat="false" ht="15" hidden="false" customHeight="false" outlineLevel="0" collapsed="false">
      <c r="A123" s="8" t="s">
        <v>274</v>
      </c>
    </row>
    <row r="124" customFormat="false" ht="22.35" hidden="false" customHeight="false" outlineLevel="0" collapsed="false">
      <c r="A124" s="2" t="s">
        <v>0</v>
      </c>
      <c r="B124" s="2" t="s">
        <v>275</v>
      </c>
      <c r="C124" s="2" t="s">
        <v>276</v>
      </c>
      <c r="D124" s="2" t="s">
        <v>277</v>
      </c>
      <c r="E124" s="2" t="s">
        <v>278</v>
      </c>
      <c r="F124" s="2" t="s">
        <v>261</v>
      </c>
    </row>
    <row r="125" customFormat="false" ht="15" hidden="false" customHeight="false" outlineLevel="0" collapsed="false">
      <c r="A125" s="17" t="s">
        <v>240</v>
      </c>
      <c r="B125" s="10" t="n">
        <f aca="false">IF(COUNTIFS('1 · BBDD 2025 (insumo)'!$A$2:$A$29,$A125,'1 · BBDD 2025 (insumo)'!$AJ$2:$AJ$29,1,'1 · BBDD 2025 (insumo)'!$AN$2:$AN$29,1)&gt;0,1,0)</f>
        <v>0</v>
      </c>
      <c r="C125" s="10" t="n">
        <f aca="false">IF(COUNTIFS('1 · BBDD 2025 (insumo)'!$A$2:$A$29,$A125,'1 · BBDD 2025 (insumo)'!$AK$2:$AK$29,1,'1 · BBDD 2025 (insumo)'!$AN$2:$AN$29,1)&gt;0,1,0)</f>
        <v>0</v>
      </c>
      <c r="D125" s="10" t="n">
        <f aca="false">IF(COUNTIFS('1 · BBDD 2025 (insumo)'!$A$2:$A$29,$A125,'1 · BBDD 2025 (insumo)'!$AL$2:$AL$29,1,'1 · BBDD 2025 (insumo)'!$AN$2:$AN$29,1)&gt;0,1,0)</f>
        <v>0</v>
      </c>
      <c r="E125" s="10" t="n">
        <f aca="false">IF(COUNTIFS('1 · BBDD 2025 (insumo)'!$A$2:$A$29,$A125,'1 · BBDD 2025 (insumo)'!$AM$2:$AM$29,1,'1 · BBDD 2025 (insumo)'!$AN$2:$AN$29,1)&gt;0,1,0)</f>
        <v>0</v>
      </c>
      <c r="F125" s="12" t="n">
        <f aca="false">SUM(B125:E125)</f>
        <v>0</v>
      </c>
    </row>
    <row r="126" customFormat="false" ht="15" hidden="false" customHeight="false" outlineLevel="0" collapsed="false">
      <c r="A126" s="17" t="s">
        <v>51</v>
      </c>
      <c r="B126" s="10" t="n">
        <f aca="false">IF(COUNTIFS('1 · BBDD 2025 (insumo)'!$A$2:$A$29,$A126,'1 · BBDD 2025 (insumo)'!$AJ$2:$AJ$29,1,'1 · BBDD 2025 (insumo)'!$AN$2:$AN$29,1)&gt;0,1,0)</f>
        <v>0</v>
      </c>
      <c r="C126" s="10" t="n">
        <f aca="false">IF(COUNTIFS('1 · BBDD 2025 (insumo)'!$A$2:$A$29,$A126,'1 · BBDD 2025 (insumo)'!$AK$2:$AK$29,1,'1 · BBDD 2025 (insumo)'!$AN$2:$AN$29,1)&gt;0,1,0)</f>
        <v>0</v>
      </c>
      <c r="D126" s="10" t="n">
        <f aca="false">IF(COUNTIFS('1 · BBDD 2025 (insumo)'!$A$2:$A$29,$A126,'1 · BBDD 2025 (insumo)'!$AL$2:$AL$29,1,'1 · BBDD 2025 (insumo)'!$AN$2:$AN$29,1)&gt;0,1,0)</f>
        <v>0</v>
      </c>
      <c r="E126" s="10" t="n">
        <f aca="false">IF(COUNTIFS('1 · BBDD 2025 (insumo)'!$A$2:$A$29,$A126,'1 · BBDD 2025 (insumo)'!$AM$2:$AM$29,1,'1 · BBDD 2025 (insumo)'!$AN$2:$AN$29,1)&gt;0,1,0)</f>
        <v>0</v>
      </c>
      <c r="F126" s="12" t="n">
        <f aca="false">SUM(B126:E126)</f>
        <v>0</v>
      </c>
    </row>
    <row r="127" customFormat="false" ht="15" hidden="false" customHeight="false" outlineLevel="0" collapsed="false">
      <c r="A127" s="17" t="s">
        <v>63</v>
      </c>
      <c r="B127" s="10" t="n">
        <f aca="false">IF(COUNTIFS('1 · BBDD 2025 (insumo)'!$A$2:$A$29,$A127,'1 · BBDD 2025 (insumo)'!$AJ$2:$AJ$29,1,'1 · BBDD 2025 (insumo)'!$AN$2:$AN$29,1)&gt;0,1,0)</f>
        <v>1</v>
      </c>
      <c r="C127" s="10" t="n">
        <f aca="false">IF(COUNTIFS('1 · BBDD 2025 (insumo)'!$A$2:$A$29,$A127,'1 · BBDD 2025 (insumo)'!$AK$2:$AK$29,1,'1 · BBDD 2025 (insumo)'!$AN$2:$AN$29,1)&gt;0,1,0)</f>
        <v>1</v>
      </c>
      <c r="D127" s="10" t="n">
        <f aca="false">IF(COUNTIFS('1 · BBDD 2025 (insumo)'!$A$2:$A$29,$A127,'1 · BBDD 2025 (insumo)'!$AL$2:$AL$29,1,'1 · BBDD 2025 (insumo)'!$AN$2:$AN$29,1)&gt;0,1,0)</f>
        <v>1</v>
      </c>
      <c r="E127" s="10" t="n">
        <f aca="false">IF(COUNTIFS('1 · BBDD 2025 (insumo)'!$A$2:$A$29,$A127,'1 · BBDD 2025 (insumo)'!$AM$2:$AM$29,1,'1 · BBDD 2025 (insumo)'!$AN$2:$AN$29,1)&gt;0,1,0)</f>
        <v>0</v>
      </c>
      <c r="F127" s="12" t="n">
        <f aca="false">SUM(B127:E127)</f>
        <v>3</v>
      </c>
    </row>
    <row r="128" customFormat="false" ht="15" hidden="false" customHeight="false" outlineLevel="0" collapsed="false">
      <c r="A128" s="17" t="s">
        <v>96</v>
      </c>
      <c r="B128" s="10" t="n">
        <f aca="false">IF(COUNTIFS('1 · BBDD 2025 (insumo)'!$A$2:$A$29,$A128,'1 · BBDD 2025 (insumo)'!$AJ$2:$AJ$29,1,'1 · BBDD 2025 (insumo)'!$AN$2:$AN$29,1)&gt;0,1,0)</f>
        <v>1</v>
      </c>
      <c r="C128" s="10" t="n">
        <f aca="false">IF(COUNTIFS('1 · BBDD 2025 (insumo)'!$A$2:$A$29,$A128,'1 · BBDD 2025 (insumo)'!$AK$2:$AK$29,1,'1 · BBDD 2025 (insumo)'!$AN$2:$AN$29,1)&gt;0,1,0)</f>
        <v>1</v>
      </c>
      <c r="D128" s="10" t="n">
        <f aca="false">IF(COUNTIFS('1 · BBDD 2025 (insumo)'!$A$2:$A$29,$A128,'1 · BBDD 2025 (insumo)'!$AL$2:$AL$29,1,'1 · BBDD 2025 (insumo)'!$AN$2:$AN$29,1)&gt;0,1,0)</f>
        <v>0</v>
      </c>
      <c r="E128" s="10" t="n">
        <f aca="false">IF(COUNTIFS('1 · BBDD 2025 (insumo)'!$A$2:$A$29,$A128,'1 · BBDD 2025 (insumo)'!$AM$2:$AM$29,1,'1 · BBDD 2025 (insumo)'!$AN$2:$AN$29,1)&gt;0,1,0)</f>
        <v>0</v>
      </c>
      <c r="F128" s="12" t="n">
        <f aca="false">SUM(B128:E128)</f>
        <v>2</v>
      </c>
    </row>
    <row r="129" customFormat="false" ht="15" hidden="false" customHeight="false" outlineLevel="0" collapsed="false">
      <c r="A129" s="17" t="s">
        <v>128</v>
      </c>
      <c r="B129" s="10" t="n">
        <f aca="false">IF(COUNTIFS('1 · BBDD 2025 (insumo)'!$A$2:$A$29,$A129,'1 · BBDD 2025 (insumo)'!$AJ$2:$AJ$29,1,'1 · BBDD 2025 (insumo)'!$AN$2:$AN$29,1)&gt;0,1,0)</f>
        <v>1</v>
      </c>
      <c r="C129" s="10" t="n">
        <f aca="false">IF(COUNTIFS('1 · BBDD 2025 (insumo)'!$A$2:$A$29,$A129,'1 · BBDD 2025 (insumo)'!$AK$2:$AK$29,1,'1 · BBDD 2025 (insumo)'!$AN$2:$AN$29,1)&gt;0,1,0)</f>
        <v>0</v>
      </c>
      <c r="D129" s="10" t="n">
        <f aca="false">IF(COUNTIFS('1 · BBDD 2025 (insumo)'!$A$2:$A$29,$A129,'1 · BBDD 2025 (insumo)'!$AL$2:$AL$29,1,'1 · BBDD 2025 (insumo)'!$AN$2:$AN$29,1)&gt;0,1,0)</f>
        <v>1</v>
      </c>
      <c r="E129" s="10" t="n">
        <f aca="false">IF(COUNTIFS('1 · BBDD 2025 (insumo)'!$A$2:$A$29,$A129,'1 · BBDD 2025 (insumo)'!$AM$2:$AM$29,1,'1 · BBDD 2025 (insumo)'!$AN$2:$AN$29,1)&gt;0,1,0)</f>
        <v>1</v>
      </c>
      <c r="F129" s="12" t="n">
        <f aca="false">SUM(B129:E129)</f>
        <v>3</v>
      </c>
    </row>
    <row r="130" customFormat="false" ht="15" hidden="false" customHeight="false" outlineLevel="0" collapsed="false">
      <c r="A130" s="17" t="s">
        <v>151</v>
      </c>
      <c r="B130" s="10" t="n">
        <f aca="false">IF(COUNTIFS('1 · BBDD 2025 (insumo)'!$A$2:$A$29,$A130,'1 · BBDD 2025 (insumo)'!$AJ$2:$AJ$29,1,'1 · BBDD 2025 (insumo)'!$AN$2:$AN$29,1)&gt;0,1,0)</f>
        <v>0</v>
      </c>
      <c r="C130" s="10" t="n">
        <f aca="false">IF(COUNTIFS('1 · BBDD 2025 (insumo)'!$A$2:$A$29,$A130,'1 · BBDD 2025 (insumo)'!$AK$2:$AK$29,1,'1 · BBDD 2025 (insumo)'!$AN$2:$AN$29,1)&gt;0,1,0)</f>
        <v>1</v>
      </c>
      <c r="D130" s="10" t="n">
        <f aca="false">IF(COUNTIFS('1 · BBDD 2025 (insumo)'!$A$2:$A$29,$A130,'1 · BBDD 2025 (insumo)'!$AL$2:$AL$29,1,'1 · BBDD 2025 (insumo)'!$AN$2:$AN$29,1)&gt;0,1,0)</f>
        <v>0</v>
      </c>
      <c r="E130" s="10" t="n">
        <f aca="false">IF(COUNTIFS('1 · BBDD 2025 (insumo)'!$A$2:$A$29,$A130,'1 · BBDD 2025 (insumo)'!$AM$2:$AM$29,1,'1 · BBDD 2025 (insumo)'!$AN$2:$AN$29,1)&gt;0,1,0)</f>
        <v>0</v>
      </c>
      <c r="F130" s="12" t="n">
        <f aca="false">SUM(B130:E130)</f>
        <v>1</v>
      </c>
    </row>
    <row r="131" customFormat="false" ht="15" hidden="false" customHeight="false" outlineLevel="0" collapsed="false">
      <c r="A131" s="17" t="s">
        <v>241</v>
      </c>
      <c r="B131" s="10" t="n">
        <f aca="false">IF(COUNTIFS('1 · BBDD 2025 (insumo)'!$A$2:$A$29,$A131,'1 · BBDD 2025 (insumo)'!$AJ$2:$AJ$29,1,'1 · BBDD 2025 (insumo)'!$AN$2:$AN$29,1)&gt;0,1,0)</f>
        <v>0</v>
      </c>
      <c r="C131" s="10" t="n">
        <f aca="false">IF(COUNTIFS('1 · BBDD 2025 (insumo)'!$A$2:$A$29,$A131,'1 · BBDD 2025 (insumo)'!$AK$2:$AK$29,1,'1 · BBDD 2025 (insumo)'!$AN$2:$AN$29,1)&gt;0,1,0)</f>
        <v>0</v>
      </c>
      <c r="D131" s="10" t="n">
        <f aca="false">IF(COUNTIFS('1 · BBDD 2025 (insumo)'!$A$2:$A$29,$A131,'1 · BBDD 2025 (insumo)'!$AL$2:$AL$29,1,'1 · BBDD 2025 (insumo)'!$AN$2:$AN$29,1)&gt;0,1,0)</f>
        <v>0</v>
      </c>
      <c r="E131" s="10" t="n">
        <f aca="false">IF(COUNTIFS('1 · BBDD 2025 (insumo)'!$A$2:$A$29,$A131,'1 · BBDD 2025 (insumo)'!$AM$2:$AM$29,1,'1 · BBDD 2025 (insumo)'!$AN$2:$AN$29,1)&gt;0,1,0)</f>
        <v>0</v>
      </c>
      <c r="F131" s="12" t="n">
        <f aca="false">SUM(B131:E131)</f>
        <v>0</v>
      </c>
    </row>
    <row r="132" customFormat="false" ht="15" hidden="false" customHeight="false" outlineLevel="0" collapsed="false">
      <c r="A132" s="17" t="s">
        <v>163</v>
      </c>
      <c r="B132" s="10" t="n">
        <f aca="false">IF(COUNTIFS('1 · BBDD 2025 (insumo)'!$A$2:$A$29,$A132,'1 · BBDD 2025 (insumo)'!$AJ$2:$AJ$29,1,'1 · BBDD 2025 (insumo)'!$AN$2:$AN$29,1)&gt;0,1,0)</f>
        <v>1</v>
      </c>
      <c r="C132" s="10" t="n">
        <f aca="false">IF(COUNTIFS('1 · BBDD 2025 (insumo)'!$A$2:$A$29,$A132,'1 · BBDD 2025 (insumo)'!$AK$2:$AK$29,1,'1 · BBDD 2025 (insumo)'!$AN$2:$AN$29,1)&gt;0,1,0)</f>
        <v>0</v>
      </c>
      <c r="D132" s="10" t="n">
        <f aca="false">IF(COUNTIFS('1 · BBDD 2025 (insumo)'!$A$2:$A$29,$A132,'1 · BBDD 2025 (insumo)'!$AL$2:$AL$29,1,'1 · BBDD 2025 (insumo)'!$AN$2:$AN$29,1)&gt;0,1,0)</f>
        <v>0</v>
      </c>
      <c r="E132" s="10" t="n">
        <f aca="false">IF(COUNTIFS('1 · BBDD 2025 (insumo)'!$A$2:$A$29,$A132,'1 · BBDD 2025 (insumo)'!$AM$2:$AM$29,1,'1 · BBDD 2025 (insumo)'!$AN$2:$AN$29,1)&gt;0,1,0)</f>
        <v>0</v>
      </c>
      <c r="F132" s="12" t="n">
        <f aca="false">SUM(B132:E132)</f>
        <v>1</v>
      </c>
    </row>
    <row r="133" customFormat="false" ht="15" hidden="false" customHeight="false" outlineLevel="0" collapsed="false">
      <c r="A133" s="17" t="s">
        <v>170</v>
      </c>
      <c r="B133" s="10" t="n">
        <f aca="false">IF(COUNTIFS('1 · BBDD 2025 (insumo)'!$A$2:$A$29,$A133,'1 · BBDD 2025 (insumo)'!$AJ$2:$AJ$29,1,'1 · BBDD 2025 (insumo)'!$AN$2:$AN$29,1)&gt;0,1,0)</f>
        <v>0</v>
      </c>
      <c r="C133" s="10" t="n">
        <f aca="false">IF(COUNTIFS('1 · BBDD 2025 (insumo)'!$A$2:$A$29,$A133,'1 · BBDD 2025 (insumo)'!$AK$2:$AK$29,1,'1 · BBDD 2025 (insumo)'!$AN$2:$AN$29,1)&gt;0,1,0)</f>
        <v>0</v>
      </c>
      <c r="D133" s="10" t="n">
        <f aca="false">IF(COUNTIFS('1 · BBDD 2025 (insumo)'!$A$2:$A$29,$A133,'1 · BBDD 2025 (insumo)'!$AL$2:$AL$29,1,'1 · BBDD 2025 (insumo)'!$AN$2:$AN$29,1)&gt;0,1,0)</f>
        <v>0</v>
      </c>
      <c r="E133" s="10" t="n">
        <f aca="false">IF(COUNTIFS('1 · BBDD 2025 (insumo)'!$A$2:$A$29,$A133,'1 · BBDD 2025 (insumo)'!$AM$2:$AM$29,1,'1 · BBDD 2025 (insumo)'!$AN$2:$AN$29,1)&gt;0,1,0)</f>
        <v>1</v>
      </c>
      <c r="F133" s="12" t="n">
        <f aca="false">SUM(B133:E133)</f>
        <v>1</v>
      </c>
    </row>
    <row r="134" customFormat="false" ht="15" hidden="false" customHeight="false" outlineLevel="0" collapsed="false">
      <c r="A134" s="17" t="s">
        <v>177</v>
      </c>
      <c r="B134" s="10" t="n">
        <f aca="false">IF(COUNTIFS('1 · BBDD 2025 (insumo)'!$A$2:$A$29,$A134,'1 · BBDD 2025 (insumo)'!$AJ$2:$AJ$29,1,'1 · BBDD 2025 (insumo)'!$AN$2:$AN$29,1)&gt;0,1,0)</f>
        <v>0</v>
      </c>
      <c r="C134" s="10" t="n">
        <f aca="false">IF(COUNTIFS('1 · BBDD 2025 (insumo)'!$A$2:$A$29,$A134,'1 · BBDD 2025 (insumo)'!$AK$2:$AK$29,1,'1 · BBDD 2025 (insumo)'!$AN$2:$AN$29,1)&gt;0,1,0)</f>
        <v>0</v>
      </c>
      <c r="D134" s="10" t="n">
        <f aca="false">IF(COUNTIFS('1 · BBDD 2025 (insumo)'!$A$2:$A$29,$A134,'1 · BBDD 2025 (insumo)'!$AL$2:$AL$29,1,'1 · BBDD 2025 (insumo)'!$AN$2:$AN$29,1)&gt;0,1,0)</f>
        <v>0</v>
      </c>
      <c r="E134" s="10" t="n">
        <f aca="false">IF(COUNTIFS('1 · BBDD 2025 (insumo)'!$A$2:$A$29,$A134,'1 · BBDD 2025 (insumo)'!$AM$2:$AM$29,1,'1 · BBDD 2025 (insumo)'!$AN$2:$AN$29,1)&gt;0,1,0)</f>
        <v>0</v>
      </c>
      <c r="F134" s="12" t="n">
        <f aca="false">SUM(B134:E134)</f>
        <v>0</v>
      </c>
    </row>
    <row r="135" customFormat="false" ht="15" hidden="false" customHeight="false" outlineLevel="0" collapsed="false">
      <c r="A135" s="17" t="s">
        <v>183</v>
      </c>
      <c r="B135" s="10" t="n">
        <f aca="false">IF(COUNTIFS('1 · BBDD 2025 (insumo)'!$A$2:$A$29,$A135,'1 · BBDD 2025 (insumo)'!$AJ$2:$AJ$29,1,'1 · BBDD 2025 (insumo)'!$AN$2:$AN$29,1)&gt;0,1,0)</f>
        <v>0</v>
      </c>
      <c r="C135" s="10" t="n">
        <f aca="false">IF(COUNTIFS('1 · BBDD 2025 (insumo)'!$A$2:$A$29,$A135,'1 · BBDD 2025 (insumo)'!$AK$2:$AK$29,1,'1 · BBDD 2025 (insumo)'!$AN$2:$AN$29,1)&gt;0,1,0)</f>
        <v>1</v>
      </c>
      <c r="D135" s="10" t="n">
        <f aca="false">IF(COUNTIFS('1 · BBDD 2025 (insumo)'!$A$2:$A$29,$A135,'1 · BBDD 2025 (insumo)'!$AL$2:$AL$29,1,'1 · BBDD 2025 (insumo)'!$AN$2:$AN$29,1)&gt;0,1,0)</f>
        <v>1</v>
      </c>
      <c r="E135" s="10" t="n">
        <f aca="false">IF(COUNTIFS('1 · BBDD 2025 (insumo)'!$A$2:$A$29,$A135,'1 · BBDD 2025 (insumo)'!$AM$2:$AM$29,1,'1 · BBDD 2025 (insumo)'!$AN$2:$AN$29,1)&gt;0,1,0)</f>
        <v>0</v>
      </c>
      <c r="F135" s="12" t="n">
        <f aca="false">SUM(B135:E135)</f>
        <v>2</v>
      </c>
    </row>
    <row r="136" customFormat="false" ht="15" hidden="false" customHeight="false" outlineLevel="0" collapsed="false">
      <c r="A136" s="17" t="s">
        <v>242</v>
      </c>
      <c r="B136" s="10" t="n">
        <f aca="false">IF(COUNTIFS('1 · BBDD 2025 (insumo)'!$A$2:$A$29,$A136,'1 · BBDD 2025 (insumo)'!$AJ$2:$AJ$29,1,'1 · BBDD 2025 (insumo)'!$AN$2:$AN$29,1)&gt;0,1,0)</f>
        <v>0</v>
      </c>
      <c r="C136" s="10" t="n">
        <f aca="false">IF(COUNTIFS('1 · BBDD 2025 (insumo)'!$A$2:$A$29,$A136,'1 · BBDD 2025 (insumo)'!$AK$2:$AK$29,1,'1 · BBDD 2025 (insumo)'!$AN$2:$AN$29,1)&gt;0,1,0)</f>
        <v>0</v>
      </c>
      <c r="D136" s="10" t="n">
        <f aca="false">IF(COUNTIFS('1 · BBDD 2025 (insumo)'!$A$2:$A$29,$A136,'1 · BBDD 2025 (insumo)'!$AL$2:$AL$29,1,'1 · BBDD 2025 (insumo)'!$AN$2:$AN$29,1)&gt;0,1,0)</f>
        <v>0</v>
      </c>
      <c r="E136" s="10" t="n">
        <f aca="false">IF(COUNTIFS('1 · BBDD 2025 (insumo)'!$A$2:$A$29,$A136,'1 · BBDD 2025 (insumo)'!$AM$2:$AM$29,1,'1 · BBDD 2025 (insumo)'!$AN$2:$AN$29,1)&gt;0,1,0)</f>
        <v>0</v>
      </c>
      <c r="F136" s="12" t="n">
        <f aca="false">SUM(B136:E136)</f>
        <v>0</v>
      </c>
    </row>
    <row r="137" customFormat="false" ht="15" hidden="false" customHeight="false" outlineLevel="0" collapsed="false">
      <c r="A137" s="17" t="s">
        <v>190</v>
      </c>
      <c r="B137" s="10" t="n">
        <f aca="false">IF(COUNTIFS('1 · BBDD 2025 (insumo)'!$A$2:$A$29,$A137,'1 · BBDD 2025 (insumo)'!$AJ$2:$AJ$29,1,'1 · BBDD 2025 (insumo)'!$AN$2:$AN$29,1)&gt;0,1,0)</f>
        <v>1</v>
      </c>
      <c r="C137" s="10" t="n">
        <f aca="false">IF(COUNTIFS('1 · BBDD 2025 (insumo)'!$A$2:$A$29,$A137,'1 · BBDD 2025 (insumo)'!$AK$2:$AK$29,1,'1 · BBDD 2025 (insumo)'!$AN$2:$AN$29,1)&gt;0,1,0)</f>
        <v>1</v>
      </c>
      <c r="D137" s="10" t="n">
        <f aca="false">IF(COUNTIFS('1 · BBDD 2025 (insumo)'!$A$2:$A$29,$A137,'1 · BBDD 2025 (insumo)'!$AL$2:$AL$29,1,'1 · BBDD 2025 (insumo)'!$AN$2:$AN$29,1)&gt;0,1,0)</f>
        <v>0</v>
      </c>
      <c r="E137" s="10" t="n">
        <f aca="false">IF(COUNTIFS('1 · BBDD 2025 (insumo)'!$A$2:$A$29,$A137,'1 · BBDD 2025 (insumo)'!$AM$2:$AM$29,1,'1 · BBDD 2025 (insumo)'!$AN$2:$AN$29,1)&gt;0,1,0)</f>
        <v>0</v>
      </c>
      <c r="F137" s="12" t="n">
        <f aca="false">SUM(B137:E137)</f>
        <v>2</v>
      </c>
    </row>
    <row r="138" customFormat="false" ht="15" hidden="false" customHeight="false" outlineLevel="0" collapsed="false">
      <c r="A138" s="17" t="s">
        <v>243</v>
      </c>
      <c r="B138" s="10" t="n">
        <f aca="false">IF(COUNTIFS('1 · BBDD 2025 (insumo)'!$A$2:$A$29,$A138,'1 · BBDD 2025 (insumo)'!$AJ$2:$AJ$29,1,'1 · BBDD 2025 (insumo)'!$AN$2:$AN$29,1)&gt;0,1,0)</f>
        <v>0</v>
      </c>
      <c r="C138" s="10" t="n">
        <f aca="false">IF(COUNTIFS('1 · BBDD 2025 (insumo)'!$A$2:$A$29,$A138,'1 · BBDD 2025 (insumo)'!$AK$2:$AK$29,1,'1 · BBDD 2025 (insumo)'!$AN$2:$AN$29,1)&gt;0,1,0)</f>
        <v>0</v>
      </c>
      <c r="D138" s="10" t="n">
        <f aca="false">IF(COUNTIFS('1 · BBDD 2025 (insumo)'!$A$2:$A$29,$A138,'1 · BBDD 2025 (insumo)'!$AL$2:$AL$29,1,'1 · BBDD 2025 (insumo)'!$AN$2:$AN$29,1)&gt;0,1,0)</f>
        <v>0</v>
      </c>
      <c r="E138" s="10" t="n">
        <f aca="false">IF(COUNTIFS('1 · BBDD 2025 (insumo)'!$A$2:$A$29,$A138,'1 · BBDD 2025 (insumo)'!$AM$2:$AM$29,1,'1 · BBDD 2025 (insumo)'!$AN$2:$AN$29,1)&gt;0,1,0)</f>
        <v>0</v>
      </c>
      <c r="F138" s="12" t="n">
        <f aca="false">SUM(B138:E138)</f>
        <v>0</v>
      </c>
    </row>
    <row r="139" customFormat="false" ht="15" hidden="false" customHeight="false" outlineLevel="0" collapsed="false">
      <c r="A139" s="17" t="s">
        <v>200</v>
      </c>
      <c r="B139" s="10" t="n">
        <f aca="false">IF(COUNTIFS('1 · BBDD 2025 (insumo)'!$A$2:$A$29,$A139,'1 · BBDD 2025 (insumo)'!$AJ$2:$AJ$29,1,'1 · BBDD 2025 (insumo)'!$AN$2:$AN$29,1)&gt;0,1,0)</f>
        <v>0</v>
      </c>
      <c r="C139" s="10" t="n">
        <f aca="false">IF(COUNTIFS('1 · BBDD 2025 (insumo)'!$A$2:$A$29,$A139,'1 · BBDD 2025 (insumo)'!$AK$2:$AK$29,1,'1 · BBDD 2025 (insumo)'!$AN$2:$AN$29,1)&gt;0,1,0)</f>
        <v>0</v>
      </c>
      <c r="D139" s="10" t="n">
        <f aca="false">IF(COUNTIFS('1 · BBDD 2025 (insumo)'!$A$2:$A$29,$A139,'1 · BBDD 2025 (insumo)'!$AL$2:$AL$29,1,'1 · BBDD 2025 (insumo)'!$AN$2:$AN$29,1)&gt;0,1,0)</f>
        <v>1</v>
      </c>
      <c r="E139" s="10" t="n">
        <f aca="false">IF(COUNTIFS('1 · BBDD 2025 (insumo)'!$A$2:$A$29,$A139,'1 · BBDD 2025 (insumo)'!$AM$2:$AM$29,1,'1 · BBDD 2025 (insumo)'!$AN$2:$AN$29,1)&gt;0,1,0)</f>
        <v>0</v>
      </c>
      <c r="F139" s="12" t="n">
        <f aca="false">SUM(B139:E139)</f>
        <v>1</v>
      </c>
    </row>
    <row r="140" customFormat="false" ht="15" hidden="false" customHeight="false" outlineLevel="0" collapsed="false">
      <c r="A140" s="17" t="s">
        <v>244</v>
      </c>
      <c r="B140" s="10" t="n">
        <f aca="false">IF(COUNTIFS('1 · BBDD 2025 (insumo)'!$A$2:$A$29,$A140,'1 · BBDD 2025 (insumo)'!$AJ$2:$AJ$29,1,'1 · BBDD 2025 (insumo)'!$AN$2:$AN$29,1)&gt;0,1,0)</f>
        <v>0</v>
      </c>
      <c r="C140" s="10" t="n">
        <f aca="false">IF(COUNTIFS('1 · BBDD 2025 (insumo)'!$A$2:$A$29,$A140,'1 · BBDD 2025 (insumo)'!$AK$2:$AK$29,1,'1 · BBDD 2025 (insumo)'!$AN$2:$AN$29,1)&gt;0,1,0)</f>
        <v>0</v>
      </c>
      <c r="D140" s="10" t="n">
        <f aca="false">IF(COUNTIFS('1 · BBDD 2025 (insumo)'!$A$2:$A$29,$A140,'1 · BBDD 2025 (insumo)'!$AL$2:$AL$29,1,'1 · BBDD 2025 (insumo)'!$AN$2:$AN$29,1)&gt;0,1,0)</f>
        <v>0</v>
      </c>
      <c r="E140" s="10" t="n">
        <f aca="false">IF(COUNTIFS('1 · BBDD 2025 (insumo)'!$A$2:$A$29,$A140,'1 · BBDD 2025 (insumo)'!$AM$2:$AM$29,1,'1 · BBDD 2025 (insumo)'!$AN$2:$AN$29,1)&gt;0,1,0)</f>
        <v>0</v>
      </c>
      <c r="F140" s="12" t="n">
        <f aca="false">SUM(B140:E140)</f>
        <v>0</v>
      </c>
    </row>
    <row r="141" customFormat="false" ht="15" hidden="false" customHeight="false" outlineLevel="0" collapsed="false">
      <c r="A141" s="17" t="s">
        <v>245</v>
      </c>
      <c r="B141" s="10" t="n">
        <f aca="false">IF(COUNTIFS('1 · BBDD 2025 (insumo)'!$A$2:$A$29,$A141,'1 · BBDD 2025 (insumo)'!$AJ$2:$AJ$29,1,'1 · BBDD 2025 (insumo)'!$AN$2:$AN$29,1)&gt;0,1,0)</f>
        <v>0</v>
      </c>
      <c r="C141" s="10" t="n">
        <f aca="false">IF(COUNTIFS('1 · BBDD 2025 (insumo)'!$A$2:$A$29,$A141,'1 · BBDD 2025 (insumo)'!$AK$2:$AK$29,1,'1 · BBDD 2025 (insumo)'!$AN$2:$AN$29,1)&gt;0,1,0)</f>
        <v>0</v>
      </c>
      <c r="D141" s="10" t="n">
        <f aca="false">IF(COUNTIFS('1 · BBDD 2025 (insumo)'!$A$2:$A$29,$A141,'1 · BBDD 2025 (insumo)'!$AL$2:$AL$29,1,'1 · BBDD 2025 (insumo)'!$AN$2:$AN$29,1)&gt;0,1,0)</f>
        <v>0</v>
      </c>
      <c r="E141" s="10" t="n">
        <f aca="false">IF(COUNTIFS('1 · BBDD 2025 (insumo)'!$A$2:$A$29,$A141,'1 · BBDD 2025 (insumo)'!$AM$2:$AM$29,1,'1 · BBDD 2025 (insumo)'!$AN$2:$AN$29,1)&gt;0,1,0)</f>
        <v>0</v>
      </c>
      <c r="F141" s="12" t="n">
        <f aca="false">SUM(B141:E141)</f>
        <v>0</v>
      </c>
    </row>
    <row r="142" customFormat="false" ht="15" hidden="false" customHeight="false" outlineLevel="0" collapsed="false">
      <c r="A142" s="17" t="s">
        <v>246</v>
      </c>
      <c r="B142" s="10" t="n">
        <f aca="false">IF(COUNTIFS('1 · BBDD 2025 (insumo)'!$A$2:$A$29,$A142,'1 · BBDD 2025 (insumo)'!$AJ$2:$AJ$29,1,'1 · BBDD 2025 (insumo)'!$AN$2:$AN$29,1)&gt;0,1,0)</f>
        <v>0</v>
      </c>
      <c r="C142" s="10" t="n">
        <f aca="false">IF(COUNTIFS('1 · BBDD 2025 (insumo)'!$A$2:$A$29,$A142,'1 · BBDD 2025 (insumo)'!$AK$2:$AK$29,1,'1 · BBDD 2025 (insumo)'!$AN$2:$AN$29,1)&gt;0,1,0)</f>
        <v>0</v>
      </c>
      <c r="D142" s="10" t="n">
        <f aca="false">IF(COUNTIFS('1 · BBDD 2025 (insumo)'!$A$2:$A$29,$A142,'1 · BBDD 2025 (insumo)'!$AL$2:$AL$29,1,'1 · BBDD 2025 (insumo)'!$AN$2:$AN$29,1)&gt;0,1,0)</f>
        <v>0</v>
      </c>
      <c r="E142" s="10" t="n">
        <f aca="false">IF(COUNTIFS('1 · BBDD 2025 (insumo)'!$A$2:$A$29,$A142,'1 · BBDD 2025 (insumo)'!$AM$2:$AM$29,1,'1 · BBDD 2025 (insumo)'!$AN$2:$AN$29,1)&gt;0,1,0)</f>
        <v>0</v>
      </c>
      <c r="F142" s="12" t="n">
        <f aca="false">SUM(B142:E142)</f>
        <v>0</v>
      </c>
    </row>
    <row r="143" customFormat="false" ht="15" hidden="false" customHeight="false" outlineLevel="0" collapsed="false">
      <c r="A143" s="17" t="s">
        <v>248</v>
      </c>
      <c r="B143" s="10" t="n">
        <f aca="false">IF(COUNTIFS('1 · BBDD 2025 (insumo)'!$A$2:$A$29,$A143,'1 · BBDD 2025 (insumo)'!$AJ$2:$AJ$29,1,'1 · BBDD 2025 (insumo)'!$AN$2:$AN$29,1)&gt;0,1,0)</f>
        <v>0</v>
      </c>
      <c r="C143" s="10" t="n">
        <f aca="false">IF(COUNTIFS('1 · BBDD 2025 (insumo)'!$A$2:$A$29,$A143,'1 · BBDD 2025 (insumo)'!$AK$2:$AK$29,1,'1 · BBDD 2025 (insumo)'!$AN$2:$AN$29,1)&gt;0,1,0)</f>
        <v>0</v>
      </c>
      <c r="D143" s="10" t="n">
        <f aca="false">IF(COUNTIFS('1 · BBDD 2025 (insumo)'!$A$2:$A$29,$A143,'1 · BBDD 2025 (insumo)'!$AL$2:$AL$29,1,'1 · BBDD 2025 (insumo)'!$AN$2:$AN$29,1)&gt;0,1,0)</f>
        <v>0</v>
      </c>
      <c r="E143" s="10" t="n">
        <f aca="false">IF(COUNTIFS('1 · BBDD 2025 (insumo)'!$A$2:$A$29,$A143,'1 · BBDD 2025 (insumo)'!$AM$2:$AM$29,1,'1 · BBDD 2025 (insumo)'!$AN$2:$AN$29,1)&gt;0,1,0)</f>
        <v>0</v>
      </c>
      <c r="F143" s="12" t="n">
        <f aca="false">SUM(B143:E143)</f>
        <v>0</v>
      </c>
    </row>
    <row r="144" customFormat="false" ht="15" hidden="false" customHeight="false" outlineLevel="0" collapsed="false">
      <c r="A144" s="17" t="s">
        <v>249</v>
      </c>
      <c r="B144" s="10" t="n">
        <f aca="false">IF(COUNTIFS('1 · BBDD 2025 (insumo)'!$A$2:$A$29,$A144,'1 · BBDD 2025 (insumo)'!$AJ$2:$AJ$29,1,'1 · BBDD 2025 (insumo)'!$AN$2:$AN$29,1)&gt;0,1,0)</f>
        <v>0</v>
      </c>
      <c r="C144" s="10" t="n">
        <f aca="false">IF(COUNTIFS('1 · BBDD 2025 (insumo)'!$A$2:$A$29,$A144,'1 · BBDD 2025 (insumo)'!$AK$2:$AK$29,1,'1 · BBDD 2025 (insumo)'!$AN$2:$AN$29,1)&gt;0,1,0)</f>
        <v>0</v>
      </c>
      <c r="D144" s="10" t="n">
        <f aca="false">IF(COUNTIFS('1 · BBDD 2025 (insumo)'!$A$2:$A$29,$A144,'1 · BBDD 2025 (insumo)'!$AL$2:$AL$29,1,'1 · BBDD 2025 (insumo)'!$AN$2:$AN$29,1)&gt;0,1,0)</f>
        <v>0</v>
      </c>
      <c r="E144" s="10" t="n">
        <f aca="false">IF(COUNTIFS('1 · BBDD 2025 (insumo)'!$A$2:$A$29,$A144,'1 · BBDD 2025 (insumo)'!$AM$2:$AM$29,1,'1 · BBDD 2025 (insumo)'!$AN$2:$AN$29,1)&gt;0,1,0)</f>
        <v>0</v>
      </c>
      <c r="F144" s="12" t="n">
        <f aca="false">SUM(B144:E144)</f>
        <v>0</v>
      </c>
    </row>
    <row r="147" customFormat="false" ht="15" hidden="false" customHeight="false" outlineLevel="0" collapsed="false">
      <c r="A147" s="8" t="s">
        <v>279</v>
      </c>
    </row>
    <row r="148" customFormat="false" ht="22.35" hidden="false" customHeight="false" outlineLevel="0" collapsed="false">
      <c r="A148" s="2" t="s">
        <v>0</v>
      </c>
      <c r="B148" s="2" t="s">
        <v>275</v>
      </c>
      <c r="C148" s="2" t="s">
        <v>276</v>
      </c>
      <c r="D148" s="2" t="s">
        <v>277</v>
      </c>
      <c r="E148" s="2" t="s">
        <v>278</v>
      </c>
      <c r="F148" s="2" t="s">
        <v>261</v>
      </c>
    </row>
    <row r="149" customFormat="false" ht="15" hidden="false" customHeight="false" outlineLevel="0" collapsed="false">
      <c r="A149" s="17" t="s">
        <v>240</v>
      </c>
      <c r="B149" s="10" t="n">
        <f aca="false">IF(COUNTIFS('1 · BBDD 2025 (insumo)'!$A$2:$A$29,$A149,'1 · BBDD 2025 (insumo)'!$AJ$2:$AJ$29,1,'1 · BBDD 2025 (insumo)'!$AO$2:$AO$29,1)&gt;0,1,0)</f>
        <v>0</v>
      </c>
      <c r="C149" s="10" t="n">
        <f aca="false">IF(COUNTIFS('1 · BBDD 2025 (insumo)'!$A$2:$A$29,$A149,'1 · BBDD 2025 (insumo)'!$AK$2:$AK$29,1,'1 · BBDD 2025 (insumo)'!$AO$2:$AO$29,1)&gt;0,1,0)</f>
        <v>0</v>
      </c>
      <c r="D149" s="10" t="n">
        <f aca="false">IF(COUNTIFS('1 · BBDD 2025 (insumo)'!$A$2:$A$29,$A149,'1 · BBDD 2025 (insumo)'!$AL$2:$AL$29,1,'1 · BBDD 2025 (insumo)'!$AO$2:$AO$29,1)&gt;0,1,0)</f>
        <v>0</v>
      </c>
      <c r="E149" s="10" t="n">
        <f aca="false">IF(COUNTIFS('1 · BBDD 2025 (insumo)'!$A$2:$A$29,$A149,'1 · BBDD 2025 (insumo)'!$AM$2:$AM$29,1,'1 · BBDD 2025 (insumo)'!$AO$2:$AO$29,1)&gt;0,1,0)</f>
        <v>0</v>
      </c>
      <c r="F149" s="12" t="n">
        <f aca="false">SUM(B149:E149)</f>
        <v>0</v>
      </c>
    </row>
    <row r="150" customFormat="false" ht="15" hidden="false" customHeight="false" outlineLevel="0" collapsed="false">
      <c r="A150" s="17" t="s">
        <v>51</v>
      </c>
      <c r="B150" s="10" t="n">
        <f aca="false">IF(COUNTIFS('1 · BBDD 2025 (insumo)'!$A$2:$A$29,$A150,'1 · BBDD 2025 (insumo)'!$AJ$2:$AJ$29,1,'1 · BBDD 2025 (insumo)'!$AO$2:$AO$29,1)&gt;0,1,0)</f>
        <v>0</v>
      </c>
      <c r="C150" s="10" t="n">
        <f aca="false">IF(COUNTIFS('1 · BBDD 2025 (insumo)'!$A$2:$A$29,$A150,'1 · BBDD 2025 (insumo)'!$AK$2:$AK$29,1,'1 · BBDD 2025 (insumo)'!$AO$2:$AO$29,1)&gt;0,1,0)</f>
        <v>0</v>
      </c>
      <c r="D150" s="10" t="n">
        <f aca="false">IF(COUNTIFS('1 · BBDD 2025 (insumo)'!$A$2:$A$29,$A150,'1 · BBDD 2025 (insumo)'!$AL$2:$AL$29,1,'1 · BBDD 2025 (insumo)'!$AO$2:$AO$29,1)&gt;0,1,0)</f>
        <v>1</v>
      </c>
      <c r="E150" s="10" t="n">
        <f aca="false">IF(COUNTIFS('1 · BBDD 2025 (insumo)'!$A$2:$A$29,$A150,'1 · BBDD 2025 (insumo)'!$AM$2:$AM$29,1,'1 · BBDD 2025 (insumo)'!$AO$2:$AO$29,1)&gt;0,1,0)</f>
        <v>0</v>
      </c>
      <c r="F150" s="12" t="n">
        <f aca="false">SUM(B150:E150)</f>
        <v>1</v>
      </c>
    </row>
    <row r="151" customFormat="false" ht="15" hidden="false" customHeight="false" outlineLevel="0" collapsed="false">
      <c r="A151" s="17" t="s">
        <v>63</v>
      </c>
      <c r="B151" s="10" t="n">
        <f aca="false">IF(COUNTIFS('1 · BBDD 2025 (insumo)'!$A$2:$A$29,$A151,'1 · BBDD 2025 (insumo)'!$AJ$2:$AJ$29,1,'1 · BBDD 2025 (insumo)'!$AO$2:$AO$29,1)&gt;0,1,0)</f>
        <v>1</v>
      </c>
      <c r="C151" s="10" t="n">
        <f aca="false">IF(COUNTIFS('1 · BBDD 2025 (insumo)'!$A$2:$A$29,$A151,'1 · BBDD 2025 (insumo)'!$AK$2:$AK$29,1,'1 · BBDD 2025 (insumo)'!$AO$2:$AO$29,1)&gt;0,1,0)</f>
        <v>0</v>
      </c>
      <c r="D151" s="10" t="n">
        <f aca="false">IF(COUNTIFS('1 · BBDD 2025 (insumo)'!$A$2:$A$29,$A151,'1 · BBDD 2025 (insumo)'!$AL$2:$AL$29,1,'1 · BBDD 2025 (insumo)'!$AO$2:$AO$29,1)&gt;0,1,0)</f>
        <v>1</v>
      </c>
      <c r="E151" s="10" t="n">
        <f aca="false">IF(COUNTIFS('1 · BBDD 2025 (insumo)'!$A$2:$A$29,$A151,'1 · BBDD 2025 (insumo)'!$AM$2:$AM$29,1,'1 · BBDD 2025 (insumo)'!$AO$2:$AO$29,1)&gt;0,1,0)</f>
        <v>0</v>
      </c>
      <c r="F151" s="12" t="n">
        <f aca="false">SUM(B151:E151)</f>
        <v>2</v>
      </c>
    </row>
    <row r="152" customFormat="false" ht="15" hidden="false" customHeight="false" outlineLevel="0" collapsed="false">
      <c r="A152" s="17" t="s">
        <v>96</v>
      </c>
      <c r="B152" s="10" t="n">
        <f aca="false">IF(COUNTIFS('1 · BBDD 2025 (insumo)'!$A$2:$A$29,$A152,'1 · BBDD 2025 (insumo)'!$AJ$2:$AJ$29,1,'1 · BBDD 2025 (insumo)'!$AO$2:$AO$29,1)&gt;0,1,0)</f>
        <v>1</v>
      </c>
      <c r="C152" s="10" t="n">
        <f aca="false">IF(COUNTIFS('1 · BBDD 2025 (insumo)'!$A$2:$A$29,$A152,'1 · BBDD 2025 (insumo)'!$AK$2:$AK$29,1,'1 · BBDD 2025 (insumo)'!$AO$2:$AO$29,1)&gt;0,1,0)</f>
        <v>0</v>
      </c>
      <c r="D152" s="10" t="n">
        <f aca="false">IF(COUNTIFS('1 · BBDD 2025 (insumo)'!$A$2:$A$29,$A152,'1 · BBDD 2025 (insumo)'!$AL$2:$AL$29,1,'1 · BBDD 2025 (insumo)'!$AO$2:$AO$29,1)&gt;0,1,0)</f>
        <v>0</v>
      </c>
      <c r="E152" s="10" t="n">
        <f aca="false">IF(COUNTIFS('1 · BBDD 2025 (insumo)'!$A$2:$A$29,$A152,'1 · BBDD 2025 (insumo)'!$AM$2:$AM$29,1,'1 · BBDD 2025 (insumo)'!$AO$2:$AO$29,1)&gt;0,1,0)</f>
        <v>0</v>
      </c>
      <c r="F152" s="12" t="n">
        <f aca="false">SUM(B152:E152)</f>
        <v>1</v>
      </c>
    </row>
    <row r="153" customFormat="false" ht="15" hidden="false" customHeight="false" outlineLevel="0" collapsed="false">
      <c r="A153" s="17" t="s">
        <v>128</v>
      </c>
      <c r="B153" s="10" t="n">
        <f aca="false">IF(COUNTIFS('1 · BBDD 2025 (insumo)'!$A$2:$A$29,$A153,'1 · BBDD 2025 (insumo)'!$AJ$2:$AJ$29,1,'1 · BBDD 2025 (insumo)'!$AO$2:$AO$29,1)&gt;0,1,0)</f>
        <v>1</v>
      </c>
      <c r="C153" s="10" t="n">
        <f aca="false">IF(COUNTIFS('1 · BBDD 2025 (insumo)'!$A$2:$A$29,$A153,'1 · BBDD 2025 (insumo)'!$AK$2:$AK$29,1,'1 · BBDD 2025 (insumo)'!$AO$2:$AO$29,1)&gt;0,1,0)</f>
        <v>0</v>
      </c>
      <c r="D153" s="10" t="n">
        <f aca="false">IF(COUNTIFS('1 · BBDD 2025 (insumo)'!$A$2:$A$29,$A153,'1 · BBDD 2025 (insumo)'!$AL$2:$AL$29,1,'1 · BBDD 2025 (insumo)'!$AO$2:$AO$29,1)&gt;0,1,0)</f>
        <v>1</v>
      </c>
      <c r="E153" s="10" t="n">
        <f aca="false">IF(COUNTIFS('1 · BBDD 2025 (insumo)'!$A$2:$A$29,$A153,'1 · BBDD 2025 (insumo)'!$AM$2:$AM$29,1,'1 · BBDD 2025 (insumo)'!$AO$2:$AO$29,1)&gt;0,1,0)</f>
        <v>0</v>
      </c>
      <c r="F153" s="12" t="n">
        <f aca="false">SUM(B153:E153)</f>
        <v>2</v>
      </c>
    </row>
    <row r="154" customFormat="false" ht="15" hidden="false" customHeight="false" outlineLevel="0" collapsed="false">
      <c r="A154" s="17" t="s">
        <v>151</v>
      </c>
      <c r="B154" s="10" t="n">
        <f aca="false">IF(COUNTIFS('1 · BBDD 2025 (insumo)'!$A$2:$A$29,$A154,'1 · BBDD 2025 (insumo)'!$AJ$2:$AJ$29,1,'1 · BBDD 2025 (insumo)'!$AO$2:$AO$29,1)&gt;0,1,0)</f>
        <v>1</v>
      </c>
      <c r="C154" s="10" t="n">
        <f aca="false">IF(COUNTIFS('1 · BBDD 2025 (insumo)'!$A$2:$A$29,$A154,'1 · BBDD 2025 (insumo)'!$AK$2:$AK$29,1,'1 · BBDD 2025 (insumo)'!$AO$2:$AO$29,1)&gt;0,1,0)</f>
        <v>0</v>
      </c>
      <c r="D154" s="10" t="n">
        <f aca="false">IF(COUNTIFS('1 · BBDD 2025 (insumo)'!$A$2:$A$29,$A154,'1 · BBDD 2025 (insumo)'!$AL$2:$AL$29,1,'1 · BBDD 2025 (insumo)'!$AO$2:$AO$29,1)&gt;0,1,0)</f>
        <v>0</v>
      </c>
      <c r="E154" s="10" t="n">
        <f aca="false">IF(COUNTIFS('1 · BBDD 2025 (insumo)'!$A$2:$A$29,$A154,'1 · BBDD 2025 (insumo)'!$AM$2:$AM$29,1,'1 · BBDD 2025 (insumo)'!$AO$2:$AO$29,1)&gt;0,1,0)</f>
        <v>1</v>
      </c>
      <c r="F154" s="12" t="n">
        <f aca="false">SUM(B154:E154)</f>
        <v>2</v>
      </c>
    </row>
    <row r="155" customFormat="false" ht="15" hidden="false" customHeight="false" outlineLevel="0" collapsed="false">
      <c r="A155" s="17" t="s">
        <v>241</v>
      </c>
      <c r="B155" s="10" t="n">
        <f aca="false">IF(COUNTIFS('1 · BBDD 2025 (insumo)'!$A$2:$A$29,$A155,'1 · BBDD 2025 (insumo)'!$AJ$2:$AJ$29,1,'1 · BBDD 2025 (insumo)'!$AO$2:$AO$29,1)&gt;0,1,0)</f>
        <v>0</v>
      </c>
      <c r="C155" s="10" t="n">
        <f aca="false">IF(COUNTIFS('1 · BBDD 2025 (insumo)'!$A$2:$A$29,$A155,'1 · BBDD 2025 (insumo)'!$AK$2:$AK$29,1,'1 · BBDD 2025 (insumo)'!$AO$2:$AO$29,1)&gt;0,1,0)</f>
        <v>0</v>
      </c>
      <c r="D155" s="10" t="n">
        <f aca="false">IF(COUNTIFS('1 · BBDD 2025 (insumo)'!$A$2:$A$29,$A155,'1 · BBDD 2025 (insumo)'!$AL$2:$AL$29,1,'1 · BBDD 2025 (insumo)'!$AO$2:$AO$29,1)&gt;0,1,0)</f>
        <v>0</v>
      </c>
      <c r="E155" s="10" t="n">
        <f aca="false">IF(COUNTIFS('1 · BBDD 2025 (insumo)'!$A$2:$A$29,$A155,'1 · BBDD 2025 (insumo)'!$AM$2:$AM$29,1,'1 · BBDD 2025 (insumo)'!$AO$2:$AO$29,1)&gt;0,1,0)</f>
        <v>0</v>
      </c>
      <c r="F155" s="12" t="n">
        <f aca="false">SUM(B155:E155)</f>
        <v>0</v>
      </c>
    </row>
    <row r="156" customFormat="false" ht="15" hidden="false" customHeight="false" outlineLevel="0" collapsed="false">
      <c r="A156" s="17" t="s">
        <v>163</v>
      </c>
      <c r="B156" s="10" t="n">
        <f aca="false">IF(COUNTIFS('1 · BBDD 2025 (insumo)'!$A$2:$A$29,$A156,'1 · BBDD 2025 (insumo)'!$AJ$2:$AJ$29,1,'1 · BBDD 2025 (insumo)'!$AO$2:$AO$29,1)&gt;0,1,0)</f>
        <v>0</v>
      </c>
      <c r="C156" s="10" t="n">
        <f aca="false">IF(COUNTIFS('1 · BBDD 2025 (insumo)'!$A$2:$A$29,$A156,'1 · BBDD 2025 (insumo)'!$AK$2:$AK$29,1,'1 · BBDD 2025 (insumo)'!$AO$2:$AO$29,1)&gt;0,1,0)</f>
        <v>0</v>
      </c>
      <c r="D156" s="10" t="n">
        <f aca="false">IF(COUNTIFS('1 · BBDD 2025 (insumo)'!$A$2:$A$29,$A156,'1 · BBDD 2025 (insumo)'!$AL$2:$AL$29,1,'1 · BBDD 2025 (insumo)'!$AO$2:$AO$29,1)&gt;0,1,0)</f>
        <v>0</v>
      </c>
      <c r="E156" s="10" t="n">
        <f aca="false">IF(COUNTIFS('1 · BBDD 2025 (insumo)'!$A$2:$A$29,$A156,'1 · BBDD 2025 (insumo)'!$AM$2:$AM$29,1,'1 · BBDD 2025 (insumo)'!$AO$2:$AO$29,1)&gt;0,1,0)</f>
        <v>0</v>
      </c>
      <c r="F156" s="12" t="n">
        <f aca="false">SUM(B156:E156)</f>
        <v>0</v>
      </c>
    </row>
    <row r="157" customFormat="false" ht="15" hidden="false" customHeight="false" outlineLevel="0" collapsed="false">
      <c r="A157" s="17" t="s">
        <v>170</v>
      </c>
      <c r="B157" s="10" t="n">
        <f aca="false">IF(COUNTIFS('1 · BBDD 2025 (insumo)'!$A$2:$A$29,$A157,'1 · BBDD 2025 (insumo)'!$AJ$2:$AJ$29,1,'1 · BBDD 2025 (insumo)'!$AO$2:$AO$29,1)&gt;0,1,0)</f>
        <v>0</v>
      </c>
      <c r="C157" s="10" t="n">
        <f aca="false">IF(COUNTIFS('1 · BBDD 2025 (insumo)'!$A$2:$A$29,$A157,'1 · BBDD 2025 (insumo)'!$AK$2:$AK$29,1,'1 · BBDD 2025 (insumo)'!$AO$2:$AO$29,1)&gt;0,1,0)</f>
        <v>0</v>
      </c>
      <c r="D157" s="10" t="n">
        <f aca="false">IF(COUNTIFS('1 · BBDD 2025 (insumo)'!$A$2:$A$29,$A157,'1 · BBDD 2025 (insumo)'!$AL$2:$AL$29,1,'1 · BBDD 2025 (insumo)'!$AO$2:$AO$29,1)&gt;0,1,0)</f>
        <v>0</v>
      </c>
      <c r="E157" s="10" t="n">
        <f aca="false">IF(COUNTIFS('1 · BBDD 2025 (insumo)'!$A$2:$A$29,$A157,'1 · BBDD 2025 (insumo)'!$AM$2:$AM$29,1,'1 · BBDD 2025 (insumo)'!$AO$2:$AO$29,1)&gt;0,1,0)</f>
        <v>0</v>
      </c>
      <c r="F157" s="12" t="n">
        <f aca="false">SUM(B157:E157)</f>
        <v>0</v>
      </c>
    </row>
    <row r="158" customFormat="false" ht="15" hidden="false" customHeight="false" outlineLevel="0" collapsed="false">
      <c r="A158" s="17" t="s">
        <v>177</v>
      </c>
      <c r="B158" s="10" t="n">
        <f aca="false">IF(COUNTIFS('1 · BBDD 2025 (insumo)'!$A$2:$A$29,$A158,'1 · BBDD 2025 (insumo)'!$AJ$2:$AJ$29,1,'1 · BBDD 2025 (insumo)'!$AO$2:$AO$29,1)&gt;0,1,0)</f>
        <v>0</v>
      </c>
      <c r="C158" s="10" t="n">
        <f aca="false">IF(COUNTIFS('1 · BBDD 2025 (insumo)'!$A$2:$A$29,$A158,'1 · BBDD 2025 (insumo)'!$AK$2:$AK$29,1,'1 · BBDD 2025 (insumo)'!$AO$2:$AO$29,1)&gt;0,1,0)</f>
        <v>0</v>
      </c>
      <c r="D158" s="10" t="n">
        <f aca="false">IF(COUNTIFS('1 · BBDD 2025 (insumo)'!$A$2:$A$29,$A158,'1 · BBDD 2025 (insumo)'!$AL$2:$AL$29,1,'1 · BBDD 2025 (insumo)'!$AO$2:$AO$29,1)&gt;0,1,0)</f>
        <v>1</v>
      </c>
      <c r="E158" s="10" t="n">
        <f aca="false">IF(COUNTIFS('1 · BBDD 2025 (insumo)'!$A$2:$A$29,$A158,'1 · BBDD 2025 (insumo)'!$AM$2:$AM$29,1,'1 · BBDD 2025 (insumo)'!$AO$2:$AO$29,1)&gt;0,1,0)</f>
        <v>0</v>
      </c>
      <c r="F158" s="12" t="n">
        <f aca="false">SUM(B158:E158)</f>
        <v>1</v>
      </c>
    </row>
    <row r="159" customFormat="false" ht="15" hidden="false" customHeight="false" outlineLevel="0" collapsed="false">
      <c r="A159" s="17" t="s">
        <v>183</v>
      </c>
      <c r="B159" s="10" t="n">
        <f aca="false">IF(COUNTIFS('1 · BBDD 2025 (insumo)'!$A$2:$A$29,$A159,'1 · BBDD 2025 (insumo)'!$AJ$2:$AJ$29,1,'1 · BBDD 2025 (insumo)'!$AO$2:$AO$29,1)&gt;0,1,0)</f>
        <v>0</v>
      </c>
      <c r="C159" s="10" t="n">
        <f aca="false">IF(COUNTIFS('1 · BBDD 2025 (insumo)'!$A$2:$A$29,$A159,'1 · BBDD 2025 (insumo)'!$AK$2:$AK$29,1,'1 · BBDD 2025 (insumo)'!$AO$2:$AO$29,1)&gt;0,1,0)</f>
        <v>1</v>
      </c>
      <c r="D159" s="10" t="n">
        <f aca="false">IF(COUNTIFS('1 · BBDD 2025 (insumo)'!$A$2:$A$29,$A159,'1 · BBDD 2025 (insumo)'!$AL$2:$AL$29,1,'1 · BBDD 2025 (insumo)'!$AO$2:$AO$29,1)&gt;0,1,0)</f>
        <v>1</v>
      </c>
      <c r="E159" s="10" t="n">
        <f aca="false">IF(COUNTIFS('1 · BBDD 2025 (insumo)'!$A$2:$A$29,$A159,'1 · BBDD 2025 (insumo)'!$AM$2:$AM$29,1,'1 · BBDD 2025 (insumo)'!$AO$2:$AO$29,1)&gt;0,1,0)</f>
        <v>0</v>
      </c>
      <c r="F159" s="12" t="n">
        <f aca="false">SUM(B159:E159)</f>
        <v>2</v>
      </c>
    </row>
    <row r="160" customFormat="false" ht="15" hidden="false" customHeight="false" outlineLevel="0" collapsed="false">
      <c r="A160" s="17" t="s">
        <v>242</v>
      </c>
      <c r="B160" s="10" t="n">
        <f aca="false">IF(COUNTIFS('1 · BBDD 2025 (insumo)'!$A$2:$A$29,$A160,'1 · BBDD 2025 (insumo)'!$AJ$2:$AJ$29,1,'1 · BBDD 2025 (insumo)'!$AO$2:$AO$29,1)&gt;0,1,0)</f>
        <v>0</v>
      </c>
      <c r="C160" s="10" t="n">
        <f aca="false">IF(COUNTIFS('1 · BBDD 2025 (insumo)'!$A$2:$A$29,$A160,'1 · BBDD 2025 (insumo)'!$AK$2:$AK$29,1,'1 · BBDD 2025 (insumo)'!$AO$2:$AO$29,1)&gt;0,1,0)</f>
        <v>0</v>
      </c>
      <c r="D160" s="10" t="n">
        <f aca="false">IF(COUNTIFS('1 · BBDD 2025 (insumo)'!$A$2:$A$29,$A160,'1 · BBDD 2025 (insumo)'!$AL$2:$AL$29,1,'1 · BBDD 2025 (insumo)'!$AO$2:$AO$29,1)&gt;0,1,0)</f>
        <v>0</v>
      </c>
      <c r="E160" s="10" t="n">
        <f aca="false">IF(COUNTIFS('1 · BBDD 2025 (insumo)'!$A$2:$A$29,$A160,'1 · BBDD 2025 (insumo)'!$AM$2:$AM$29,1,'1 · BBDD 2025 (insumo)'!$AO$2:$AO$29,1)&gt;0,1,0)</f>
        <v>0</v>
      </c>
      <c r="F160" s="12" t="n">
        <f aca="false">SUM(B160:E160)</f>
        <v>0</v>
      </c>
    </row>
    <row r="161" customFormat="false" ht="15" hidden="false" customHeight="false" outlineLevel="0" collapsed="false">
      <c r="A161" s="17" t="s">
        <v>190</v>
      </c>
      <c r="B161" s="10" t="n">
        <f aca="false">IF(COUNTIFS('1 · BBDD 2025 (insumo)'!$A$2:$A$29,$A161,'1 · BBDD 2025 (insumo)'!$AJ$2:$AJ$29,1,'1 · BBDD 2025 (insumo)'!$AO$2:$AO$29,1)&gt;0,1,0)</f>
        <v>0</v>
      </c>
      <c r="C161" s="10" t="n">
        <f aca="false">IF(COUNTIFS('1 · BBDD 2025 (insumo)'!$A$2:$A$29,$A161,'1 · BBDD 2025 (insumo)'!$AK$2:$AK$29,1,'1 · BBDD 2025 (insumo)'!$AO$2:$AO$29,1)&gt;0,1,0)</f>
        <v>0</v>
      </c>
      <c r="D161" s="10" t="n">
        <f aca="false">IF(COUNTIFS('1 · BBDD 2025 (insumo)'!$A$2:$A$29,$A161,'1 · BBDD 2025 (insumo)'!$AL$2:$AL$29,1,'1 · BBDD 2025 (insumo)'!$AO$2:$AO$29,1)&gt;0,1,0)</f>
        <v>0</v>
      </c>
      <c r="E161" s="10" t="n">
        <f aca="false">IF(COUNTIFS('1 · BBDD 2025 (insumo)'!$A$2:$A$29,$A161,'1 · BBDD 2025 (insumo)'!$AM$2:$AM$29,1,'1 · BBDD 2025 (insumo)'!$AO$2:$AO$29,1)&gt;0,1,0)</f>
        <v>0</v>
      </c>
      <c r="F161" s="12" t="n">
        <f aca="false">SUM(B161:E161)</f>
        <v>0</v>
      </c>
    </row>
    <row r="162" customFormat="false" ht="15" hidden="false" customHeight="false" outlineLevel="0" collapsed="false">
      <c r="A162" s="17" t="s">
        <v>243</v>
      </c>
      <c r="B162" s="10" t="n">
        <f aca="false">IF(COUNTIFS('1 · BBDD 2025 (insumo)'!$A$2:$A$29,$A162,'1 · BBDD 2025 (insumo)'!$AJ$2:$AJ$29,1,'1 · BBDD 2025 (insumo)'!$AO$2:$AO$29,1)&gt;0,1,0)</f>
        <v>0</v>
      </c>
      <c r="C162" s="10" t="n">
        <f aca="false">IF(COUNTIFS('1 · BBDD 2025 (insumo)'!$A$2:$A$29,$A162,'1 · BBDD 2025 (insumo)'!$AK$2:$AK$29,1,'1 · BBDD 2025 (insumo)'!$AO$2:$AO$29,1)&gt;0,1,0)</f>
        <v>0</v>
      </c>
      <c r="D162" s="10" t="n">
        <f aca="false">IF(COUNTIFS('1 · BBDD 2025 (insumo)'!$A$2:$A$29,$A162,'1 · BBDD 2025 (insumo)'!$AL$2:$AL$29,1,'1 · BBDD 2025 (insumo)'!$AO$2:$AO$29,1)&gt;0,1,0)</f>
        <v>0</v>
      </c>
      <c r="E162" s="10" t="n">
        <f aca="false">IF(COUNTIFS('1 · BBDD 2025 (insumo)'!$A$2:$A$29,$A162,'1 · BBDD 2025 (insumo)'!$AM$2:$AM$29,1,'1 · BBDD 2025 (insumo)'!$AO$2:$AO$29,1)&gt;0,1,0)</f>
        <v>0</v>
      </c>
      <c r="F162" s="12" t="n">
        <f aca="false">SUM(B162:E162)</f>
        <v>0</v>
      </c>
    </row>
    <row r="163" customFormat="false" ht="15" hidden="false" customHeight="false" outlineLevel="0" collapsed="false">
      <c r="A163" s="17" t="s">
        <v>200</v>
      </c>
      <c r="B163" s="10" t="n">
        <f aca="false">IF(COUNTIFS('1 · BBDD 2025 (insumo)'!$A$2:$A$29,$A163,'1 · BBDD 2025 (insumo)'!$AJ$2:$AJ$29,1,'1 · BBDD 2025 (insumo)'!$AO$2:$AO$29,1)&gt;0,1,0)</f>
        <v>1</v>
      </c>
      <c r="C163" s="10" t="n">
        <f aca="false">IF(COUNTIFS('1 · BBDD 2025 (insumo)'!$A$2:$A$29,$A163,'1 · BBDD 2025 (insumo)'!$AK$2:$AK$29,1,'1 · BBDD 2025 (insumo)'!$AO$2:$AO$29,1)&gt;0,1,0)</f>
        <v>0</v>
      </c>
      <c r="D163" s="10" t="n">
        <f aca="false">IF(COUNTIFS('1 · BBDD 2025 (insumo)'!$A$2:$A$29,$A163,'1 · BBDD 2025 (insumo)'!$AL$2:$AL$29,1,'1 · BBDD 2025 (insumo)'!$AO$2:$AO$29,1)&gt;0,1,0)</f>
        <v>0</v>
      </c>
      <c r="E163" s="10" t="n">
        <f aca="false">IF(COUNTIFS('1 · BBDD 2025 (insumo)'!$A$2:$A$29,$A163,'1 · BBDD 2025 (insumo)'!$AM$2:$AM$29,1,'1 · BBDD 2025 (insumo)'!$AO$2:$AO$29,1)&gt;0,1,0)</f>
        <v>0</v>
      </c>
      <c r="F163" s="12" t="n">
        <f aca="false">SUM(B163:E163)</f>
        <v>1</v>
      </c>
    </row>
    <row r="164" customFormat="false" ht="15" hidden="false" customHeight="false" outlineLevel="0" collapsed="false">
      <c r="A164" s="17" t="s">
        <v>244</v>
      </c>
      <c r="B164" s="10" t="n">
        <f aca="false">IF(COUNTIFS('1 · BBDD 2025 (insumo)'!$A$2:$A$29,$A164,'1 · BBDD 2025 (insumo)'!$AJ$2:$AJ$29,1,'1 · BBDD 2025 (insumo)'!$AO$2:$AO$29,1)&gt;0,1,0)</f>
        <v>0</v>
      </c>
      <c r="C164" s="10" t="n">
        <f aca="false">IF(COUNTIFS('1 · BBDD 2025 (insumo)'!$A$2:$A$29,$A164,'1 · BBDD 2025 (insumo)'!$AK$2:$AK$29,1,'1 · BBDD 2025 (insumo)'!$AO$2:$AO$29,1)&gt;0,1,0)</f>
        <v>0</v>
      </c>
      <c r="D164" s="10" t="n">
        <f aca="false">IF(COUNTIFS('1 · BBDD 2025 (insumo)'!$A$2:$A$29,$A164,'1 · BBDD 2025 (insumo)'!$AL$2:$AL$29,1,'1 · BBDD 2025 (insumo)'!$AO$2:$AO$29,1)&gt;0,1,0)</f>
        <v>0</v>
      </c>
      <c r="E164" s="10" t="n">
        <f aca="false">IF(COUNTIFS('1 · BBDD 2025 (insumo)'!$A$2:$A$29,$A164,'1 · BBDD 2025 (insumo)'!$AM$2:$AM$29,1,'1 · BBDD 2025 (insumo)'!$AO$2:$AO$29,1)&gt;0,1,0)</f>
        <v>0</v>
      </c>
      <c r="F164" s="12" t="n">
        <f aca="false">SUM(B164:E164)</f>
        <v>0</v>
      </c>
    </row>
    <row r="165" customFormat="false" ht="15" hidden="false" customHeight="false" outlineLevel="0" collapsed="false">
      <c r="A165" s="17" t="s">
        <v>245</v>
      </c>
      <c r="B165" s="10" t="n">
        <f aca="false">IF(COUNTIFS('1 · BBDD 2025 (insumo)'!$A$2:$A$29,$A165,'1 · BBDD 2025 (insumo)'!$AJ$2:$AJ$29,1,'1 · BBDD 2025 (insumo)'!$AO$2:$AO$29,1)&gt;0,1,0)</f>
        <v>0</v>
      </c>
      <c r="C165" s="10" t="n">
        <f aca="false">IF(COUNTIFS('1 · BBDD 2025 (insumo)'!$A$2:$A$29,$A165,'1 · BBDD 2025 (insumo)'!$AK$2:$AK$29,1,'1 · BBDD 2025 (insumo)'!$AO$2:$AO$29,1)&gt;0,1,0)</f>
        <v>0</v>
      </c>
      <c r="D165" s="10" t="n">
        <f aca="false">IF(COUNTIFS('1 · BBDD 2025 (insumo)'!$A$2:$A$29,$A165,'1 · BBDD 2025 (insumo)'!$AL$2:$AL$29,1,'1 · BBDD 2025 (insumo)'!$AO$2:$AO$29,1)&gt;0,1,0)</f>
        <v>0</v>
      </c>
      <c r="E165" s="10" t="n">
        <f aca="false">IF(COUNTIFS('1 · BBDD 2025 (insumo)'!$A$2:$A$29,$A165,'1 · BBDD 2025 (insumo)'!$AM$2:$AM$29,1,'1 · BBDD 2025 (insumo)'!$AO$2:$AO$29,1)&gt;0,1,0)</f>
        <v>0</v>
      </c>
      <c r="F165" s="12" t="n">
        <f aca="false">SUM(B165:E165)</f>
        <v>0</v>
      </c>
    </row>
    <row r="166" customFormat="false" ht="15" hidden="false" customHeight="false" outlineLevel="0" collapsed="false">
      <c r="A166" s="17" t="s">
        <v>246</v>
      </c>
      <c r="B166" s="10" t="n">
        <f aca="false">IF(COUNTIFS('1 · BBDD 2025 (insumo)'!$A$2:$A$29,$A166,'1 · BBDD 2025 (insumo)'!$AJ$2:$AJ$29,1,'1 · BBDD 2025 (insumo)'!$AO$2:$AO$29,1)&gt;0,1,0)</f>
        <v>0</v>
      </c>
      <c r="C166" s="10" t="n">
        <f aca="false">IF(COUNTIFS('1 · BBDD 2025 (insumo)'!$A$2:$A$29,$A166,'1 · BBDD 2025 (insumo)'!$AK$2:$AK$29,1,'1 · BBDD 2025 (insumo)'!$AO$2:$AO$29,1)&gt;0,1,0)</f>
        <v>0</v>
      </c>
      <c r="D166" s="10" t="n">
        <f aca="false">IF(COUNTIFS('1 · BBDD 2025 (insumo)'!$A$2:$A$29,$A166,'1 · BBDD 2025 (insumo)'!$AL$2:$AL$29,1,'1 · BBDD 2025 (insumo)'!$AO$2:$AO$29,1)&gt;0,1,0)</f>
        <v>0</v>
      </c>
      <c r="E166" s="10" t="n">
        <f aca="false">IF(COUNTIFS('1 · BBDD 2025 (insumo)'!$A$2:$A$29,$A166,'1 · BBDD 2025 (insumo)'!$AM$2:$AM$29,1,'1 · BBDD 2025 (insumo)'!$AO$2:$AO$29,1)&gt;0,1,0)</f>
        <v>0</v>
      </c>
      <c r="F166" s="12" t="n">
        <f aca="false">SUM(B166:E166)</f>
        <v>0</v>
      </c>
    </row>
    <row r="167" customFormat="false" ht="15" hidden="false" customHeight="false" outlineLevel="0" collapsed="false">
      <c r="A167" s="17" t="s">
        <v>248</v>
      </c>
      <c r="B167" s="10" t="n">
        <f aca="false">IF(COUNTIFS('1 · BBDD 2025 (insumo)'!$A$2:$A$29,$A167,'1 · BBDD 2025 (insumo)'!$AJ$2:$AJ$29,1,'1 · BBDD 2025 (insumo)'!$AO$2:$AO$29,1)&gt;0,1,0)</f>
        <v>0</v>
      </c>
      <c r="C167" s="10" t="n">
        <f aca="false">IF(COUNTIFS('1 · BBDD 2025 (insumo)'!$A$2:$A$29,$A167,'1 · BBDD 2025 (insumo)'!$AK$2:$AK$29,1,'1 · BBDD 2025 (insumo)'!$AO$2:$AO$29,1)&gt;0,1,0)</f>
        <v>0</v>
      </c>
      <c r="D167" s="10" t="n">
        <f aca="false">IF(COUNTIFS('1 · BBDD 2025 (insumo)'!$A$2:$A$29,$A167,'1 · BBDD 2025 (insumo)'!$AL$2:$AL$29,1,'1 · BBDD 2025 (insumo)'!$AO$2:$AO$29,1)&gt;0,1,0)</f>
        <v>0</v>
      </c>
      <c r="E167" s="10" t="n">
        <f aca="false">IF(COUNTIFS('1 · BBDD 2025 (insumo)'!$A$2:$A$29,$A167,'1 · BBDD 2025 (insumo)'!$AM$2:$AM$29,1,'1 · BBDD 2025 (insumo)'!$AO$2:$AO$29,1)&gt;0,1,0)</f>
        <v>0</v>
      </c>
      <c r="F167" s="12" t="n">
        <f aca="false">SUM(B167:E167)</f>
        <v>0</v>
      </c>
    </row>
    <row r="168" customFormat="false" ht="15" hidden="false" customHeight="false" outlineLevel="0" collapsed="false">
      <c r="A168" s="17" t="s">
        <v>249</v>
      </c>
      <c r="B168" s="10" t="n">
        <f aca="false">IF(COUNTIFS('1 · BBDD 2025 (insumo)'!$A$2:$A$29,$A168,'1 · BBDD 2025 (insumo)'!$AJ$2:$AJ$29,1,'1 · BBDD 2025 (insumo)'!$AO$2:$AO$29,1)&gt;0,1,0)</f>
        <v>0</v>
      </c>
      <c r="C168" s="10" t="n">
        <f aca="false">IF(COUNTIFS('1 · BBDD 2025 (insumo)'!$A$2:$A$29,$A168,'1 · BBDD 2025 (insumo)'!$AK$2:$AK$29,1,'1 · BBDD 2025 (insumo)'!$AO$2:$AO$29,1)&gt;0,1,0)</f>
        <v>0</v>
      </c>
      <c r="D168" s="10" t="n">
        <f aca="false">IF(COUNTIFS('1 · BBDD 2025 (insumo)'!$A$2:$A$29,$A168,'1 · BBDD 2025 (insumo)'!$AL$2:$AL$29,1,'1 · BBDD 2025 (insumo)'!$AO$2:$AO$29,1)&gt;0,1,0)</f>
        <v>0</v>
      </c>
      <c r="E168" s="10" t="n">
        <f aca="false">IF(COUNTIFS('1 · BBDD 2025 (insumo)'!$A$2:$A$29,$A168,'1 · BBDD 2025 (insumo)'!$AM$2:$AM$29,1,'1 · BBDD 2025 (insumo)'!$AO$2:$AO$29,1)&gt;0,1,0)</f>
        <v>0</v>
      </c>
      <c r="F168" s="12" t="n">
        <f aca="false">SUM(B168:E168)</f>
        <v>0</v>
      </c>
    </row>
    <row r="171" customFormat="false" ht="15" hidden="false" customHeight="false" outlineLevel="0" collapsed="false">
      <c r="A171" s="8" t="s">
        <v>280</v>
      </c>
    </row>
    <row r="172" customFormat="false" ht="22.35" hidden="false" customHeight="false" outlineLevel="0" collapsed="false">
      <c r="A172" s="2" t="s">
        <v>0</v>
      </c>
      <c r="B172" s="2" t="s">
        <v>281</v>
      </c>
      <c r="C172" s="2" t="s">
        <v>282</v>
      </c>
      <c r="D172" s="2" t="s">
        <v>283</v>
      </c>
      <c r="E172" s="2" t="s">
        <v>284</v>
      </c>
      <c r="F172" s="2" t="s">
        <v>285</v>
      </c>
      <c r="G172" s="2" t="s">
        <v>286</v>
      </c>
      <c r="H172" s="2" t="s">
        <v>287</v>
      </c>
      <c r="I172" s="2" t="s">
        <v>288</v>
      </c>
      <c r="J172" s="2" t="s">
        <v>289</v>
      </c>
      <c r="K172" s="2" t="s">
        <v>261</v>
      </c>
    </row>
    <row r="173" customFormat="false" ht="15" hidden="false" customHeight="false" outlineLevel="0" collapsed="false">
      <c r="A173" s="17" t="s">
        <v>240</v>
      </c>
      <c r="B173" s="10" t="n">
        <f aca="false">IF(COUNTIFS('1 · BBDD 2025 (insumo)'!$A$2:$A$29,$A173,'1 · BBDD 2025 (insumo)'!$T$2:$T$29,"*;nlp - tópicos;*")&gt;0,1,0)</f>
        <v>0</v>
      </c>
      <c r="C173" s="10" t="n">
        <f aca="false">IF(COUNTIFS('1 · BBDD 2025 (insumo)'!$A$2:$A$29,$A173,'1 · BBDD 2025 (insumo)'!$T$2:$T$29,"*;voz a texto;*")&gt;0,1,0)</f>
        <v>0</v>
      </c>
      <c r="D173" s="10" t="n">
        <f aca="false">IF(COUNTIFS('1 · BBDD 2025 (insumo)'!$A$2:$A$29,$A173,'1 · BBDD 2025 (insumo)'!$T$2:$T$29,"*;llm;*")&gt;0,1,0)</f>
        <v>0</v>
      </c>
      <c r="E173" s="10" t="n">
        <f aca="false">IF(COUNTIFS('1 · BBDD 2025 (insumo)'!$A$2:$A$29,$A173,'1 · BBDD 2025 (insumo)'!$T$2:$T$29,"*;nlp;*")&gt;0,1,0)</f>
        <v>0</v>
      </c>
      <c r="F173" s="10" t="n">
        <f aca="false">IF(COUNTIFS('1 · BBDD 2025 (insumo)'!$A$2:$A$29,$A173,'1 · BBDD 2025 (insumo)'!$T$2:$T$29,"*;ml - inespecífico;*")&gt;0,1,0)</f>
        <v>0</v>
      </c>
      <c r="G173" s="10" t="n">
        <f aca="false">IF(COUNTIFS('1 · BBDD 2025 (insumo)'!$A$2:$A$29,$A173,'1 · BBDD 2025 (insumo)'!$T$2:$T$29,"*;chatbot - inespecífico;*")&gt;0,1,0)</f>
        <v>0</v>
      </c>
      <c r="H173" s="10" t="n">
        <f aca="false">IF(COUNTIFS('1 · BBDD 2025 (insumo)'!$A$2:$A$29,$A173,'1 · BBDD 2025 (insumo)'!$T$2:$T$29,"*;nlp - sentiment;*")&gt;0,1,0)</f>
        <v>0</v>
      </c>
      <c r="I173" s="10" t="n">
        <f aca="false">IF(COUNTIFS('1 · BBDD 2025 (insumo)'!$A$2:$A$29,$A173,'1 · BBDD 2025 (insumo)'!$T$2:$T$29,"*;visión computacional;*")&gt;0,1,0)</f>
        <v>0</v>
      </c>
      <c r="J173" s="10" t="n">
        <f aca="false">IF(COUNTIFS('1 · BBDD 2025 (insumo)'!$A$2:$A$29,$A173,'1 · BBDD 2025 (insumo)'!$T$2:$T$29,"*;sistemas de recomendación;*")&gt;0,1,0)</f>
        <v>0</v>
      </c>
      <c r="K173" s="12" t="n">
        <f aca="false">SUM(B173:J173)</f>
        <v>0</v>
      </c>
    </row>
    <row r="174" customFormat="false" ht="15" hidden="false" customHeight="false" outlineLevel="0" collapsed="false">
      <c r="A174" s="17" t="s">
        <v>51</v>
      </c>
      <c r="B174" s="10" t="n">
        <f aca="false">IF(COUNTIFS('1 · BBDD 2025 (insumo)'!$A$2:$A$29,$A174,'1 · BBDD 2025 (insumo)'!$T$2:$T$29,"*;nlp - tópicos;*")&gt;0,1,0)</f>
        <v>1</v>
      </c>
      <c r="C174" s="10" t="n">
        <f aca="false">IF(COUNTIFS('1 · BBDD 2025 (insumo)'!$A$2:$A$29,$A174,'1 · BBDD 2025 (insumo)'!$T$2:$T$29,"*;voz a texto;*")&gt;0,1,0)</f>
        <v>0</v>
      </c>
      <c r="D174" s="10" t="n">
        <f aca="false">IF(COUNTIFS('1 · BBDD 2025 (insumo)'!$A$2:$A$29,$A174,'1 · BBDD 2025 (insumo)'!$T$2:$T$29,"*;llm;*")&gt;0,1,0)</f>
        <v>0</v>
      </c>
      <c r="E174" s="10" t="n">
        <f aca="false">IF(COUNTIFS('1 · BBDD 2025 (insumo)'!$A$2:$A$29,$A174,'1 · BBDD 2025 (insumo)'!$T$2:$T$29,"*;nlp;*")&gt;0,1,0)</f>
        <v>0</v>
      </c>
      <c r="F174" s="10" t="n">
        <f aca="false">IF(COUNTIFS('1 · BBDD 2025 (insumo)'!$A$2:$A$29,$A174,'1 · BBDD 2025 (insumo)'!$T$2:$T$29,"*;ml - inespecífico;*")&gt;0,1,0)</f>
        <v>0</v>
      </c>
      <c r="G174" s="10" t="n">
        <f aca="false">IF(COUNTIFS('1 · BBDD 2025 (insumo)'!$A$2:$A$29,$A174,'1 · BBDD 2025 (insumo)'!$T$2:$T$29,"*;chatbot - inespecífico;*")&gt;0,1,0)</f>
        <v>0</v>
      </c>
      <c r="H174" s="10" t="n">
        <f aca="false">IF(COUNTIFS('1 · BBDD 2025 (insumo)'!$A$2:$A$29,$A174,'1 · BBDD 2025 (insumo)'!$T$2:$T$29,"*;nlp - sentiment;*")&gt;0,1,0)</f>
        <v>0</v>
      </c>
      <c r="I174" s="10" t="n">
        <f aca="false">IF(COUNTIFS('1 · BBDD 2025 (insumo)'!$A$2:$A$29,$A174,'1 · BBDD 2025 (insumo)'!$T$2:$T$29,"*;visión computacional;*")&gt;0,1,0)</f>
        <v>0</v>
      </c>
      <c r="J174" s="10" t="n">
        <f aca="false">IF(COUNTIFS('1 · BBDD 2025 (insumo)'!$A$2:$A$29,$A174,'1 · BBDD 2025 (insumo)'!$T$2:$T$29,"*;sistemas de recomendación;*")&gt;0,1,0)</f>
        <v>0</v>
      </c>
      <c r="K174" s="12" t="n">
        <f aca="false">SUM(B174:J174)</f>
        <v>1</v>
      </c>
    </row>
    <row r="175" customFormat="false" ht="15" hidden="false" customHeight="false" outlineLevel="0" collapsed="false">
      <c r="A175" s="17" t="s">
        <v>63</v>
      </c>
      <c r="B175" s="10" t="n">
        <f aca="false">IF(COUNTIFS('1 · BBDD 2025 (insumo)'!$A$2:$A$29,$A175,'1 · BBDD 2025 (insumo)'!$T$2:$T$29,"*;nlp - tópicos;*")&gt;0,1,0)</f>
        <v>0</v>
      </c>
      <c r="C175" s="10" t="n">
        <f aca="false">IF(COUNTIFS('1 · BBDD 2025 (insumo)'!$A$2:$A$29,$A175,'1 · BBDD 2025 (insumo)'!$T$2:$T$29,"*;voz a texto;*")&gt;0,1,0)</f>
        <v>1</v>
      </c>
      <c r="D175" s="10" t="n">
        <f aca="false">IF(COUNTIFS('1 · BBDD 2025 (insumo)'!$A$2:$A$29,$A175,'1 · BBDD 2025 (insumo)'!$T$2:$T$29,"*;llm;*")&gt;0,1,0)</f>
        <v>1</v>
      </c>
      <c r="E175" s="10" t="n">
        <f aca="false">IF(COUNTIFS('1 · BBDD 2025 (insumo)'!$A$2:$A$29,$A175,'1 · BBDD 2025 (insumo)'!$T$2:$T$29,"*;nlp;*")&gt;0,1,0)</f>
        <v>1</v>
      </c>
      <c r="F175" s="10" t="n">
        <f aca="false">IF(COUNTIFS('1 · BBDD 2025 (insumo)'!$A$2:$A$29,$A175,'1 · BBDD 2025 (insumo)'!$T$2:$T$29,"*;ml - inespecífico;*")&gt;0,1,0)</f>
        <v>1</v>
      </c>
      <c r="G175" s="10" t="n">
        <f aca="false">IF(COUNTIFS('1 · BBDD 2025 (insumo)'!$A$2:$A$29,$A175,'1 · BBDD 2025 (insumo)'!$T$2:$T$29,"*;chatbot - inespecífico;*")&gt;0,1,0)</f>
        <v>1</v>
      </c>
      <c r="H175" s="10" t="n">
        <f aca="false">IF(COUNTIFS('1 · BBDD 2025 (insumo)'!$A$2:$A$29,$A175,'1 · BBDD 2025 (insumo)'!$T$2:$T$29,"*;nlp - sentiment;*")&gt;0,1,0)</f>
        <v>0</v>
      </c>
      <c r="I175" s="10" t="n">
        <f aca="false">IF(COUNTIFS('1 · BBDD 2025 (insumo)'!$A$2:$A$29,$A175,'1 · BBDD 2025 (insumo)'!$T$2:$T$29,"*;visión computacional;*")&gt;0,1,0)</f>
        <v>0</v>
      </c>
      <c r="J175" s="10" t="n">
        <f aca="false">IF(COUNTIFS('1 · BBDD 2025 (insumo)'!$A$2:$A$29,$A175,'1 · BBDD 2025 (insumo)'!$T$2:$T$29,"*;sistemas de recomendación;*")&gt;0,1,0)</f>
        <v>0</v>
      </c>
      <c r="K175" s="12" t="n">
        <f aca="false">SUM(B175:J175)</f>
        <v>5</v>
      </c>
    </row>
    <row r="176" customFormat="false" ht="15" hidden="false" customHeight="false" outlineLevel="0" collapsed="false">
      <c r="A176" s="17" t="s">
        <v>96</v>
      </c>
      <c r="B176" s="10" t="n">
        <f aca="false">IF(COUNTIFS('1 · BBDD 2025 (insumo)'!$A$2:$A$29,$A176,'1 · BBDD 2025 (insumo)'!$T$2:$T$29,"*;nlp - tópicos;*")&gt;0,1,0)</f>
        <v>1</v>
      </c>
      <c r="C176" s="10" t="n">
        <f aca="false">IF(COUNTIFS('1 · BBDD 2025 (insumo)'!$A$2:$A$29,$A176,'1 · BBDD 2025 (insumo)'!$T$2:$T$29,"*;voz a texto;*")&gt;0,1,0)</f>
        <v>1</v>
      </c>
      <c r="D176" s="10" t="n">
        <f aca="false">IF(COUNTIFS('1 · BBDD 2025 (insumo)'!$A$2:$A$29,$A176,'1 · BBDD 2025 (insumo)'!$T$2:$T$29,"*;llm;*")&gt;0,1,0)</f>
        <v>0</v>
      </c>
      <c r="E176" s="10" t="n">
        <f aca="false">IF(COUNTIFS('1 · BBDD 2025 (insumo)'!$A$2:$A$29,$A176,'1 · BBDD 2025 (insumo)'!$T$2:$T$29,"*;nlp;*")&gt;0,1,0)</f>
        <v>1</v>
      </c>
      <c r="F176" s="10" t="n">
        <f aca="false">IF(COUNTIFS('1 · BBDD 2025 (insumo)'!$A$2:$A$29,$A176,'1 · BBDD 2025 (insumo)'!$T$2:$T$29,"*;ml - inespecífico;*")&gt;0,1,0)</f>
        <v>0</v>
      </c>
      <c r="G176" s="10" t="n">
        <f aca="false">IF(COUNTIFS('1 · BBDD 2025 (insumo)'!$A$2:$A$29,$A176,'1 · BBDD 2025 (insumo)'!$T$2:$T$29,"*;chatbot - inespecífico;*")&gt;0,1,0)</f>
        <v>0</v>
      </c>
      <c r="H176" s="10" t="n">
        <f aca="false">IF(COUNTIFS('1 · BBDD 2025 (insumo)'!$A$2:$A$29,$A176,'1 · BBDD 2025 (insumo)'!$T$2:$T$29,"*;nlp - sentiment;*")&gt;0,1,0)</f>
        <v>0</v>
      </c>
      <c r="I176" s="10" t="n">
        <f aca="false">IF(COUNTIFS('1 · BBDD 2025 (insumo)'!$A$2:$A$29,$A176,'1 · BBDD 2025 (insumo)'!$T$2:$T$29,"*;visión computacional;*")&gt;0,1,0)</f>
        <v>0</v>
      </c>
      <c r="J176" s="10" t="n">
        <f aca="false">IF(COUNTIFS('1 · BBDD 2025 (insumo)'!$A$2:$A$29,$A176,'1 · BBDD 2025 (insumo)'!$T$2:$T$29,"*;sistemas de recomendación;*")&gt;0,1,0)</f>
        <v>0</v>
      </c>
      <c r="K176" s="12" t="n">
        <f aca="false">SUM(B176:J176)</f>
        <v>3</v>
      </c>
    </row>
    <row r="177" customFormat="false" ht="15" hidden="false" customHeight="false" outlineLevel="0" collapsed="false">
      <c r="A177" s="17" t="s">
        <v>128</v>
      </c>
      <c r="B177" s="10" t="n">
        <f aca="false">IF(COUNTIFS('1 · BBDD 2025 (insumo)'!$A$2:$A$29,$A177,'1 · BBDD 2025 (insumo)'!$T$2:$T$29,"*;nlp - tópicos;*")&gt;0,1,0)</f>
        <v>1</v>
      </c>
      <c r="C177" s="10" t="n">
        <f aca="false">IF(COUNTIFS('1 · BBDD 2025 (insumo)'!$A$2:$A$29,$A177,'1 · BBDD 2025 (insumo)'!$T$2:$T$29,"*;voz a texto;*")&gt;0,1,0)</f>
        <v>1</v>
      </c>
      <c r="D177" s="10" t="n">
        <f aca="false">IF(COUNTIFS('1 · BBDD 2025 (insumo)'!$A$2:$A$29,$A177,'1 · BBDD 2025 (insumo)'!$T$2:$T$29,"*;llm;*")&gt;0,1,0)</f>
        <v>1</v>
      </c>
      <c r="E177" s="10" t="n">
        <f aca="false">IF(COUNTIFS('1 · BBDD 2025 (insumo)'!$A$2:$A$29,$A177,'1 · BBDD 2025 (insumo)'!$T$2:$T$29,"*;nlp;*")&gt;0,1,0)</f>
        <v>1</v>
      </c>
      <c r="F177" s="10" t="n">
        <f aca="false">IF(COUNTIFS('1 · BBDD 2025 (insumo)'!$A$2:$A$29,$A177,'1 · BBDD 2025 (insumo)'!$T$2:$T$29,"*;ml - inespecífico;*")&gt;0,1,0)</f>
        <v>0</v>
      </c>
      <c r="G177" s="10" t="n">
        <f aca="false">IF(COUNTIFS('1 · BBDD 2025 (insumo)'!$A$2:$A$29,$A177,'1 · BBDD 2025 (insumo)'!$T$2:$T$29,"*;chatbot - inespecífico;*")&gt;0,1,0)</f>
        <v>0</v>
      </c>
      <c r="H177" s="10" t="n">
        <f aca="false">IF(COUNTIFS('1 · BBDD 2025 (insumo)'!$A$2:$A$29,$A177,'1 · BBDD 2025 (insumo)'!$T$2:$T$29,"*;nlp - sentiment;*")&gt;0,1,0)</f>
        <v>1</v>
      </c>
      <c r="I177" s="10" t="n">
        <f aca="false">IF(COUNTIFS('1 · BBDD 2025 (insumo)'!$A$2:$A$29,$A177,'1 · BBDD 2025 (insumo)'!$T$2:$T$29,"*;visión computacional;*")&gt;0,1,0)</f>
        <v>0</v>
      </c>
      <c r="J177" s="10" t="n">
        <f aca="false">IF(COUNTIFS('1 · BBDD 2025 (insumo)'!$A$2:$A$29,$A177,'1 · BBDD 2025 (insumo)'!$T$2:$T$29,"*;sistemas de recomendación;*")&gt;0,1,0)</f>
        <v>0</v>
      </c>
      <c r="K177" s="12" t="n">
        <f aca="false">SUM(B177:J177)</f>
        <v>5</v>
      </c>
    </row>
    <row r="178" customFormat="false" ht="15" hidden="false" customHeight="false" outlineLevel="0" collapsed="false">
      <c r="A178" s="17" t="s">
        <v>151</v>
      </c>
      <c r="B178" s="10" t="n">
        <f aca="false">IF(COUNTIFS('1 · BBDD 2025 (insumo)'!$A$2:$A$29,$A178,'1 · BBDD 2025 (insumo)'!$T$2:$T$29,"*;nlp - tópicos;*")&gt;0,1,0)</f>
        <v>0</v>
      </c>
      <c r="C178" s="10" t="n">
        <f aca="false">IF(COUNTIFS('1 · BBDD 2025 (insumo)'!$A$2:$A$29,$A178,'1 · BBDD 2025 (insumo)'!$T$2:$T$29,"*;voz a texto;*")&gt;0,1,0)</f>
        <v>0</v>
      </c>
      <c r="D178" s="10" t="n">
        <f aca="false">IF(COUNTIFS('1 · BBDD 2025 (insumo)'!$A$2:$A$29,$A178,'1 · BBDD 2025 (insumo)'!$T$2:$T$29,"*;llm;*")&gt;0,1,0)</f>
        <v>0</v>
      </c>
      <c r="E178" s="10" t="n">
        <f aca="false">IF(COUNTIFS('1 · BBDD 2025 (insumo)'!$A$2:$A$29,$A178,'1 · BBDD 2025 (insumo)'!$T$2:$T$29,"*;nlp;*")&gt;0,1,0)</f>
        <v>1</v>
      </c>
      <c r="F178" s="10" t="n">
        <f aca="false">IF(COUNTIFS('1 · BBDD 2025 (insumo)'!$A$2:$A$29,$A178,'1 · BBDD 2025 (insumo)'!$T$2:$T$29,"*;ml - inespecífico;*")&gt;0,1,0)</f>
        <v>0</v>
      </c>
      <c r="G178" s="10" t="n">
        <f aca="false">IF(COUNTIFS('1 · BBDD 2025 (insumo)'!$A$2:$A$29,$A178,'1 · BBDD 2025 (insumo)'!$T$2:$T$29,"*;chatbot - inespecífico;*")&gt;0,1,0)</f>
        <v>0</v>
      </c>
      <c r="H178" s="10" t="n">
        <f aca="false">IF(COUNTIFS('1 · BBDD 2025 (insumo)'!$A$2:$A$29,$A178,'1 · BBDD 2025 (insumo)'!$T$2:$T$29,"*;nlp - sentiment;*")&gt;0,1,0)</f>
        <v>0</v>
      </c>
      <c r="I178" s="10" t="n">
        <f aca="false">IF(COUNTIFS('1 · BBDD 2025 (insumo)'!$A$2:$A$29,$A178,'1 · BBDD 2025 (insumo)'!$T$2:$T$29,"*;visión computacional;*")&gt;0,1,0)</f>
        <v>1</v>
      </c>
      <c r="J178" s="10" t="n">
        <f aca="false">IF(COUNTIFS('1 · BBDD 2025 (insumo)'!$A$2:$A$29,$A178,'1 · BBDD 2025 (insumo)'!$T$2:$T$29,"*;sistemas de recomendación;*")&gt;0,1,0)</f>
        <v>0</v>
      </c>
      <c r="K178" s="12" t="n">
        <f aca="false">SUM(B178:J178)</f>
        <v>2</v>
      </c>
    </row>
    <row r="179" customFormat="false" ht="15" hidden="false" customHeight="false" outlineLevel="0" collapsed="false">
      <c r="A179" s="17" t="s">
        <v>241</v>
      </c>
      <c r="B179" s="10" t="n">
        <f aca="false">IF(COUNTIFS('1 · BBDD 2025 (insumo)'!$A$2:$A$29,$A179,'1 · BBDD 2025 (insumo)'!$T$2:$T$29,"*;nlp - tópicos;*")&gt;0,1,0)</f>
        <v>0</v>
      </c>
      <c r="C179" s="10" t="n">
        <f aca="false">IF(COUNTIFS('1 · BBDD 2025 (insumo)'!$A$2:$A$29,$A179,'1 · BBDD 2025 (insumo)'!$T$2:$T$29,"*;voz a texto;*")&gt;0,1,0)</f>
        <v>0</v>
      </c>
      <c r="D179" s="10" t="n">
        <f aca="false">IF(COUNTIFS('1 · BBDD 2025 (insumo)'!$A$2:$A$29,$A179,'1 · BBDD 2025 (insumo)'!$T$2:$T$29,"*;llm;*")&gt;0,1,0)</f>
        <v>0</v>
      </c>
      <c r="E179" s="10" t="n">
        <f aca="false">IF(COUNTIFS('1 · BBDD 2025 (insumo)'!$A$2:$A$29,$A179,'1 · BBDD 2025 (insumo)'!$T$2:$T$29,"*;nlp;*")&gt;0,1,0)</f>
        <v>0</v>
      </c>
      <c r="F179" s="10" t="n">
        <f aca="false">IF(COUNTIFS('1 · BBDD 2025 (insumo)'!$A$2:$A$29,$A179,'1 · BBDD 2025 (insumo)'!$T$2:$T$29,"*;ml - inespecífico;*")&gt;0,1,0)</f>
        <v>0</v>
      </c>
      <c r="G179" s="10" t="n">
        <f aca="false">IF(COUNTIFS('1 · BBDD 2025 (insumo)'!$A$2:$A$29,$A179,'1 · BBDD 2025 (insumo)'!$T$2:$T$29,"*;chatbot - inespecífico;*")&gt;0,1,0)</f>
        <v>0</v>
      </c>
      <c r="H179" s="10" t="n">
        <f aca="false">IF(COUNTIFS('1 · BBDD 2025 (insumo)'!$A$2:$A$29,$A179,'1 · BBDD 2025 (insumo)'!$T$2:$T$29,"*;nlp - sentiment;*")&gt;0,1,0)</f>
        <v>0</v>
      </c>
      <c r="I179" s="10" t="n">
        <f aca="false">IF(COUNTIFS('1 · BBDD 2025 (insumo)'!$A$2:$A$29,$A179,'1 · BBDD 2025 (insumo)'!$T$2:$T$29,"*;visión computacional;*")&gt;0,1,0)</f>
        <v>0</v>
      </c>
      <c r="J179" s="10" t="n">
        <f aca="false">IF(COUNTIFS('1 · BBDD 2025 (insumo)'!$A$2:$A$29,$A179,'1 · BBDD 2025 (insumo)'!$T$2:$T$29,"*;sistemas de recomendación;*")&gt;0,1,0)</f>
        <v>0</v>
      </c>
      <c r="K179" s="12" t="n">
        <f aca="false">SUM(B179:J179)</f>
        <v>0</v>
      </c>
    </row>
    <row r="180" customFormat="false" ht="15" hidden="false" customHeight="false" outlineLevel="0" collapsed="false">
      <c r="A180" s="17" t="s">
        <v>163</v>
      </c>
      <c r="B180" s="10" t="n">
        <f aca="false">IF(COUNTIFS('1 · BBDD 2025 (insumo)'!$A$2:$A$29,$A180,'1 · BBDD 2025 (insumo)'!$T$2:$T$29,"*;nlp - tópicos;*")&gt;0,1,0)</f>
        <v>0</v>
      </c>
      <c r="C180" s="10" t="n">
        <f aca="false">IF(COUNTIFS('1 · BBDD 2025 (insumo)'!$A$2:$A$29,$A180,'1 · BBDD 2025 (insumo)'!$T$2:$T$29,"*;voz a texto;*")&gt;0,1,0)</f>
        <v>0</v>
      </c>
      <c r="D180" s="10" t="n">
        <f aca="false">IF(COUNTIFS('1 · BBDD 2025 (insumo)'!$A$2:$A$29,$A180,'1 · BBDD 2025 (insumo)'!$T$2:$T$29,"*;llm;*")&gt;0,1,0)</f>
        <v>1</v>
      </c>
      <c r="E180" s="10" t="n">
        <f aca="false">IF(COUNTIFS('1 · BBDD 2025 (insumo)'!$A$2:$A$29,$A180,'1 · BBDD 2025 (insumo)'!$T$2:$T$29,"*;nlp;*")&gt;0,1,0)</f>
        <v>0</v>
      </c>
      <c r="F180" s="10" t="n">
        <f aca="false">IF(COUNTIFS('1 · BBDD 2025 (insumo)'!$A$2:$A$29,$A180,'1 · BBDD 2025 (insumo)'!$T$2:$T$29,"*;ml - inespecífico;*")&gt;0,1,0)</f>
        <v>0</v>
      </c>
      <c r="G180" s="10" t="n">
        <f aca="false">IF(COUNTIFS('1 · BBDD 2025 (insumo)'!$A$2:$A$29,$A180,'1 · BBDD 2025 (insumo)'!$T$2:$T$29,"*;chatbot - inespecífico;*")&gt;0,1,0)</f>
        <v>0</v>
      </c>
      <c r="H180" s="10" t="n">
        <f aca="false">IF(COUNTIFS('1 · BBDD 2025 (insumo)'!$A$2:$A$29,$A180,'1 · BBDD 2025 (insumo)'!$T$2:$T$29,"*;nlp - sentiment;*")&gt;0,1,0)</f>
        <v>0</v>
      </c>
      <c r="I180" s="10" t="n">
        <f aca="false">IF(COUNTIFS('1 · BBDD 2025 (insumo)'!$A$2:$A$29,$A180,'1 · BBDD 2025 (insumo)'!$T$2:$T$29,"*;visión computacional;*")&gt;0,1,0)</f>
        <v>0</v>
      </c>
      <c r="J180" s="10" t="n">
        <f aca="false">IF(COUNTIFS('1 · BBDD 2025 (insumo)'!$A$2:$A$29,$A180,'1 · BBDD 2025 (insumo)'!$T$2:$T$29,"*;sistemas de recomendación;*")&gt;0,1,0)</f>
        <v>1</v>
      </c>
      <c r="K180" s="12" t="n">
        <f aca="false">SUM(B180:J180)</f>
        <v>2</v>
      </c>
    </row>
    <row r="181" customFormat="false" ht="15" hidden="false" customHeight="false" outlineLevel="0" collapsed="false">
      <c r="A181" s="17" t="s">
        <v>170</v>
      </c>
      <c r="B181" s="10" t="n">
        <f aca="false">IF(COUNTIFS('1 · BBDD 2025 (insumo)'!$A$2:$A$29,$A181,'1 · BBDD 2025 (insumo)'!$T$2:$T$29,"*;nlp - tópicos;*")&gt;0,1,0)</f>
        <v>0</v>
      </c>
      <c r="C181" s="10" t="n">
        <f aca="false">IF(COUNTIFS('1 · BBDD 2025 (insumo)'!$A$2:$A$29,$A181,'1 · BBDD 2025 (insumo)'!$T$2:$T$29,"*;voz a texto;*")&gt;0,1,0)</f>
        <v>0</v>
      </c>
      <c r="D181" s="10" t="n">
        <f aca="false">IF(COUNTIFS('1 · BBDD 2025 (insumo)'!$A$2:$A$29,$A181,'1 · BBDD 2025 (insumo)'!$T$2:$T$29,"*;llm;*")&gt;0,1,0)</f>
        <v>1</v>
      </c>
      <c r="E181" s="10" t="n">
        <f aca="false">IF(COUNTIFS('1 · BBDD 2025 (insumo)'!$A$2:$A$29,$A181,'1 · BBDD 2025 (insumo)'!$T$2:$T$29,"*;nlp;*")&gt;0,1,0)</f>
        <v>0</v>
      </c>
      <c r="F181" s="10" t="n">
        <f aca="false">IF(COUNTIFS('1 · BBDD 2025 (insumo)'!$A$2:$A$29,$A181,'1 · BBDD 2025 (insumo)'!$T$2:$T$29,"*;ml - inespecífico;*")&gt;0,1,0)</f>
        <v>0</v>
      </c>
      <c r="G181" s="10" t="n">
        <f aca="false">IF(COUNTIFS('1 · BBDD 2025 (insumo)'!$A$2:$A$29,$A181,'1 · BBDD 2025 (insumo)'!$T$2:$T$29,"*;chatbot - inespecífico;*")&gt;0,1,0)</f>
        <v>0</v>
      </c>
      <c r="H181" s="10" t="n">
        <f aca="false">IF(COUNTIFS('1 · BBDD 2025 (insumo)'!$A$2:$A$29,$A181,'1 · BBDD 2025 (insumo)'!$T$2:$T$29,"*;nlp - sentiment;*")&gt;0,1,0)</f>
        <v>0</v>
      </c>
      <c r="I181" s="10" t="n">
        <f aca="false">IF(COUNTIFS('1 · BBDD 2025 (insumo)'!$A$2:$A$29,$A181,'1 · BBDD 2025 (insumo)'!$T$2:$T$29,"*;visión computacional;*")&gt;0,1,0)</f>
        <v>0</v>
      </c>
      <c r="J181" s="10" t="n">
        <f aca="false">IF(COUNTIFS('1 · BBDD 2025 (insumo)'!$A$2:$A$29,$A181,'1 · BBDD 2025 (insumo)'!$T$2:$T$29,"*;sistemas de recomendación;*")&gt;0,1,0)</f>
        <v>0</v>
      </c>
      <c r="K181" s="12" t="n">
        <f aca="false">SUM(B181:J181)</f>
        <v>1</v>
      </c>
    </row>
    <row r="182" customFormat="false" ht="15" hidden="false" customHeight="false" outlineLevel="0" collapsed="false">
      <c r="A182" s="17" t="s">
        <v>177</v>
      </c>
      <c r="B182" s="10" t="n">
        <f aca="false">IF(COUNTIFS('1 · BBDD 2025 (insumo)'!$A$2:$A$29,$A182,'1 · BBDD 2025 (insumo)'!$T$2:$T$29,"*;nlp - tópicos;*")&gt;0,1,0)</f>
        <v>1</v>
      </c>
      <c r="C182" s="10" t="n">
        <f aca="false">IF(COUNTIFS('1 · BBDD 2025 (insumo)'!$A$2:$A$29,$A182,'1 · BBDD 2025 (insumo)'!$T$2:$T$29,"*;voz a texto;*")&gt;0,1,0)</f>
        <v>0</v>
      </c>
      <c r="D182" s="10" t="n">
        <f aca="false">IF(COUNTIFS('1 · BBDD 2025 (insumo)'!$A$2:$A$29,$A182,'1 · BBDD 2025 (insumo)'!$T$2:$T$29,"*;llm;*")&gt;0,1,0)</f>
        <v>0</v>
      </c>
      <c r="E182" s="10" t="n">
        <f aca="false">IF(COUNTIFS('1 · BBDD 2025 (insumo)'!$A$2:$A$29,$A182,'1 · BBDD 2025 (insumo)'!$T$2:$T$29,"*;nlp;*")&gt;0,1,0)</f>
        <v>0</v>
      </c>
      <c r="F182" s="10" t="n">
        <f aca="false">IF(COUNTIFS('1 · BBDD 2025 (insumo)'!$A$2:$A$29,$A182,'1 · BBDD 2025 (insumo)'!$T$2:$T$29,"*;ml - inespecífico;*")&gt;0,1,0)</f>
        <v>0</v>
      </c>
      <c r="G182" s="10" t="n">
        <f aca="false">IF(COUNTIFS('1 · BBDD 2025 (insumo)'!$A$2:$A$29,$A182,'1 · BBDD 2025 (insumo)'!$T$2:$T$29,"*;chatbot - inespecífico;*")&gt;0,1,0)</f>
        <v>0</v>
      </c>
      <c r="H182" s="10" t="n">
        <f aca="false">IF(COUNTIFS('1 · BBDD 2025 (insumo)'!$A$2:$A$29,$A182,'1 · BBDD 2025 (insumo)'!$T$2:$T$29,"*;nlp - sentiment;*")&gt;0,1,0)</f>
        <v>1</v>
      </c>
      <c r="I182" s="10" t="n">
        <f aca="false">IF(COUNTIFS('1 · BBDD 2025 (insumo)'!$A$2:$A$29,$A182,'1 · BBDD 2025 (insumo)'!$T$2:$T$29,"*;visión computacional;*")&gt;0,1,0)</f>
        <v>0</v>
      </c>
      <c r="J182" s="10" t="n">
        <f aca="false">IF(COUNTIFS('1 · BBDD 2025 (insumo)'!$A$2:$A$29,$A182,'1 · BBDD 2025 (insumo)'!$T$2:$T$29,"*;sistemas de recomendación;*")&gt;0,1,0)</f>
        <v>0</v>
      </c>
      <c r="K182" s="12" t="n">
        <f aca="false">SUM(B182:J182)</f>
        <v>2</v>
      </c>
    </row>
    <row r="183" customFormat="false" ht="15" hidden="false" customHeight="false" outlineLevel="0" collapsed="false">
      <c r="A183" s="17" t="s">
        <v>183</v>
      </c>
      <c r="B183" s="10" t="n">
        <f aca="false">IF(COUNTIFS('1 · BBDD 2025 (insumo)'!$A$2:$A$29,$A183,'1 · BBDD 2025 (insumo)'!$T$2:$T$29,"*;nlp - tópicos;*")&gt;0,1,0)</f>
        <v>1</v>
      </c>
      <c r="C183" s="10" t="n">
        <f aca="false">IF(COUNTIFS('1 · BBDD 2025 (insumo)'!$A$2:$A$29,$A183,'1 · BBDD 2025 (insumo)'!$T$2:$T$29,"*;voz a texto;*")&gt;0,1,0)</f>
        <v>0</v>
      </c>
      <c r="D183" s="10" t="n">
        <f aca="false">IF(COUNTIFS('1 · BBDD 2025 (insumo)'!$A$2:$A$29,$A183,'1 · BBDD 2025 (insumo)'!$T$2:$T$29,"*;llm;*")&gt;0,1,0)</f>
        <v>0</v>
      </c>
      <c r="E183" s="10" t="n">
        <f aca="false">IF(COUNTIFS('1 · BBDD 2025 (insumo)'!$A$2:$A$29,$A183,'1 · BBDD 2025 (insumo)'!$T$2:$T$29,"*;nlp;*")&gt;0,1,0)</f>
        <v>0</v>
      </c>
      <c r="F183" s="10" t="n">
        <f aca="false">IF(COUNTIFS('1 · BBDD 2025 (insumo)'!$A$2:$A$29,$A183,'1 · BBDD 2025 (insumo)'!$T$2:$T$29,"*;ml - inespecífico;*")&gt;0,1,0)</f>
        <v>0</v>
      </c>
      <c r="G183" s="10" t="n">
        <f aca="false">IF(COUNTIFS('1 · BBDD 2025 (insumo)'!$A$2:$A$29,$A183,'1 · BBDD 2025 (insumo)'!$T$2:$T$29,"*;chatbot - inespecífico;*")&gt;0,1,0)</f>
        <v>0</v>
      </c>
      <c r="H183" s="10" t="n">
        <f aca="false">IF(COUNTIFS('1 · BBDD 2025 (insumo)'!$A$2:$A$29,$A183,'1 · BBDD 2025 (insumo)'!$T$2:$T$29,"*;nlp - sentiment;*")&gt;0,1,0)</f>
        <v>0</v>
      </c>
      <c r="I183" s="10" t="n">
        <f aca="false">IF(COUNTIFS('1 · BBDD 2025 (insumo)'!$A$2:$A$29,$A183,'1 · BBDD 2025 (insumo)'!$T$2:$T$29,"*;visión computacional;*")&gt;0,1,0)</f>
        <v>0</v>
      </c>
      <c r="J183" s="10" t="n">
        <f aca="false">IF(COUNTIFS('1 · BBDD 2025 (insumo)'!$A$2:$A$29,$A183,'1 · BBDD 2025 (insumo)'!$T$2:$T$29,"*;sistemas de recomendación;*")&gt;0,1,0)</f>
        <v>0</v>
      </c>
      <c r="K183" s="12" t="n">
        <f aca="false">SUM(B183:J183)</f>
        <v>1</v>
      </c>
    </row>
    <row r="184" customFormat="false" ht="15" hidden="false" customHeight="false" outlineLevel="0" collapsed="false">
      <c r="A184" s="17" t="s">
        <v>242</v>
      </c>
      <c r="B184" s="10" t="n">
        <f aca="false">IF(COUNTIFS('1 · BBDD 2025 (insumo)'!$A$2:$A$29,$A184,'1 · BBDD 2025 (insumo)'!$T$2:$T$29,"*;nlp - tópicos;*")&gt;0,1,0)</f>
        <v>0</v>
      </c>
      <c r="C184" s="10" t="n">
        <f aca="false">IF(COUNTIFS('1 · BBDD 2025 (insumo)'!$A$2:$A$29,$A184,'1 · BBDD 2025 (insumo)'!$T$2:$T$29,"*;voz a texto;*")&gt;0,1,0)</f>
        <v>0</v>
      </c>
      <c r="D184" s="10" t="n">
        <f aca="false">IF(COUNTIFS('1 · BBDD 2025 (insumo)'!$A$2:$A$29,$A184,'1 · BBDD 2025 (insumo)'!$T$2:$T$29,"*;llm;*")&gt;0,1,0)</f>
        <v>0</v>
      </c>
      <c r="E184" s="10" t="n">
        <f aca="false">IF(COUNTIFS('1 · BBDD 2025 (insumo)'!$A$2:$A$29,$A184,'1 · BBDD 2025 (insumo)'!$T$2:$T$29,"*;nlp;*")&gt;0,1,0)</f>
        <v>0</v>
      </c>
      <c r="F184" s="10" t="n">
        <f aca="false">IF(COUNTIFS('1 · BBDD 2025 (insumo)'!$A$2:$A$29,$A184,'1 · BBDD 2025 (insumo)'!$T$2:$T$29,"*;ml - inespecífico;*")&gt;0,1,0)</f>
        <v>0</v>
      </c>
      <c r="G184" s="10" t="n">
        <f aca="false">IF(COUNTIFS('1 · BBDD 2025 (insumo)'!$A$2:$A$29,$A184,'1 · BBDD 2025 (insumo)'!$T$2:$T$29,"*;chatbot - inespecífico;*")&gt;0,1,0)</f>
        <v>0</v>
      </c>
      <c r="H184" s="10" t="n">
        <f aca="false">IF(COUNTIFS('1 · BBDD 2025 (insumo)'!$A$2:$A$29,$A184,'1 · BBDD 2025 (insumo)'!$T$2:$T$29,"*;nlp - sentiment;*")&gt;0,1,0)</f>
        <v>0</v>
      </c>
      <c r="I184" s="10" t="n">
        <f aca="false">IF(COUNTIFS('1 · BBDD 2025 (insumo)'!$A$2:$A$29,$A184,'1 · BBDD 2025 (insumo)'!$T$2:$T$29,"*;visión computacional;*")&gt;0,1,0)</f>
        <v>0</v>
      </c>
      <c r="J184" s="10" t="n">
        <f aca="false">IF(COUNTIFS('1 · BBDD 2025 (insumo)'!$A$2:$A$29,$A184,'1 · BBDD 2025 (insumo)'!$T$2:$T$29,"*;sistemas de recomendación;*")&gt;0,1,0)</f>
        <v>0</v>
      </c>
      <c r="K184" s="12" t="n">
        <f aca="false">SUM(B184:J184)</f>
        <v>0</v>
      </c>
    </row>
    <row r="185" customFormat="false" ht="15" hidden="false" customHeight="false" outlineLevel="0" collapsed="false">
      <c r="A185" s="17" t="s">
        <v>190</v>
      </c>
      <c r="B185" s="10" t="n">
        <f aca="false">IF(COUNTIFS('1 · BBDD 2025 (insumo)'!$A$2:$A$29,$A185,'1 · BBDD 2025 (insumo)'!$T$2:$T$29,"*;nlp - tópicos;*")&gt;0,1,0)</f>
        <v>0</v>
      </c>
      <c r="C185" s="10" t="n">
        <f aca="false">IF(COUNTIFS('1 · BBDD 2025 (insumo)'!$A$2:$A$29,$A185,'1 · BBDD 2025 (insumo)'!$T$2:$T$29,"*;voz a texto;*")&gt;0,1,0)</f>
        <v>0</v>
      </c>
      <c r="D185" s="10" t="n">
        <f aca="false">IF(COUNTIFS('1 · BBDD 2025 (insumo)'!$A$2:$A$29,$A185,'1 · BBDD 2025 (insumo)'!$T$2:$T$29,"*;llm;*")&gt;0,1,0)</f>
        <v>0</v>
      </c>
      <c r="E185" s="10" t="n">
        <f aca="false">IF(COUNTIFS('1 · BBDD 2025 (insumo)'!$A$2:$A$29,$A185,'1 · BBDD 2025 (insumo)'!$T$2:$T$29,"*;nlp;*")&gt;0,1,0)</f>
        <v>0</v>
      </c>
      <c r="F185" s="10" t="n">
        <f aca="false">IF(COUNTIFS('1 · BBDD 2025 (insumo)'!$A$2:$A$29,$A185,'1 · BBDD 2025 (insumo)'!$T$2:$T$29,"*;ml - inespecífico;*")&gt;0,1,0)</f>
        <v>0</v>
      </c>
      <c r="G185" s="10" t="n">
        <f aca="false">IF(COUNTIFS('1 · BBDD 2025 (insumo)'!$A$2:$A$29,$A185,'1 · BBDD 2025 (insumo)'!$T$2:$T$29,"*;chatbot - inespecífico;*")&gt;0,1,0)</f>
        <v>1</v>
      </c>
      <c r="H185" s="10" t="n">
        <f aca="false">IF(COUNTIFS('1 · BBDD 2025 (insumo)'!$A$2:$A$29,$A185,'1 · BBDD 2025 (insumo)'!$T$2:$T$29,"*;nlp - sentiment;*")&gt;0,1,0)</f>
        <v>0</v>
      </c>
      <c r="I185" s="10" t="n">
        <f aca="false">IF(COUNTIFS('1 · BBDD 2025 (insumo)'!$A$2:$A$29,$A185,'1 · BBDD 2025 (insumo)'!$T$2:$T$29,"*;visión computacional;*")&gt;0,1,0)</f>
        <v>1</v>
      </c>
      <c r="J185" s="10" t="n">
        <f aca="false">IF(COUNTIFS('1 · BBDD 2025 (insumo)'!$A$2:$A$29,$A185,'1 · BBDD 2025 (insumo)'!$T$2:$T$29,"*;sistemas de recomendación;*")&gt;0,1,0)</f>
        <v>0</v>
      </c>
      <c r="K185" s="12" t="n">
        <f aca="false">SUM(B185:J185)</f>
        <v>2</v>
      </c>
    </row>
    <row r="186" customFormat="false" ht="15" hidden="false" customHeight="false" outlineLevel="0" collapsed="false">
      <c r="A186" s="17" t="s">
        <v>243</v>
      </c>
      <c r="B186" s="10" t="n">
        <f aca="false">IF(COUNTIFS('1 · BBDD 2025 (insumo)'!$A$2:$A$29,$A186,'1 · BBDD 2025 (insumo)'!$T$2:$T$29,"*;nlp - tópicos;*")&gt;0,1,0)</f>
        <v>0</v>
      </c>
      <c r="C186" s="10" t="n">
        <f aca="false">IF(COUNTIFS('1 · BBDD 2025 (insumo)'!$A$2:$A$29,$A186,'1 · BBDD 2025 (insumo)'!$T$2:$T$29,"*;voz a texto;*")&gt;0,1,0)</f>
        <v>0</v>
      </c>
      <c r="D186" s="10" t="n">
        <f aca="false">IF(COUNTIFS('1 · BBDD 2025 (insumo)'!$A$2:$A$29,$A186,'1 · BBDD 2025 (insumo)'!$T$2:$T$29,"*;llm;*")&gt;0,1,0)</f>
        <v>0</v>
      </c>
      <c r="E186" s="10" t="n">
        <f aca="false">IF(COUNTIFS('1 · BBDD 2025 (insumo)'!$A$2:$A$29,$A186,'1 · BBDD 2025 (insumo)'!$T$2:$T$29,"*;nlp;*")&gt;0,1,0)</f>
        <v>0</v>
      </c>
      <c r="F186" s="10" t="n">
        <f aca="false">IF(COUNTIFS('1 · BBDD 2025 (insumo)'!$A$2:$A$29,$A186,'1 · BBDD 2025 (insumo)'!$T$2:$T$29,"*;ml - inespecífico;*")&gt;0,1,0)</f>
        <v>0</v>
      </c>
      <c r="G186" s="10" t="n">
        <f aca="false">IF(COUNTIFS('1 · BBDD 2025 (insumo)'!$A$2:$A$29,$A186,'1 · BBDD 2025 (insumo)'!$T$2:$T$29,"*;chatbot - inespecífico;*")&gt;0,1,0)</f>
        <v>0</v>
      </c>
      <c r="H186" s="10" t="n">
        <f aca="false">IF(COUNTIFS('1 · BBDD 2025 (insumo)'!$A$2:$A$29,$A186,'1 · BBDD 2025 (insumo)'!$T$2:$T$29,"*;nlp - sentiment;*")&gt;0,1,0)</f>
        <v>0</v>
      </c>
      <c r="I186" s="10" t="n">
        <f aca="false">IF(COUNTIFS('1 · BBDD 2025 (insumo)'!$A$2:$A$29,$A186,'1 · BBDD 2025 (insumo)'!$T$2:$T$29,"*;visión computacional;*")&gt;0,1,0)</f>
        <v>0</v>
      </c>
      <c r="J186" s="10" t="n">
        <f aca="false">IF(COUNTIFS('1 · BBDD 2025 (insumo)'!$A$2:$A$29,$A186,'1 · BBDD 2025 (insumo)'!$T$2:$T$29,"*;sistemas de recomendación;*")&gt;0,1,0)</f>
        <v>0</v>
      </c>
      <c r="K186" s="12" t="n">
        <f aca="false">SUM(B186:J186)</f>
        <v>0</v>
      </c>
    </row>
    <row r="187" customFormat="false" ht="15" hidden="false" customHeight="false" outlineLevel="0" collapsed="false">
      <c r="A187" s="17" t="s">
        <v>200</v>
      </c>
      <c r="B187" s="10" t="n">
        <f aca="false">IF(COUNTIFS('1 · BBDD 2025 (insumo)'!$A$2:$A$29,$A187,'1 · BBDD 2025 (insumo)'!$T$2:$T$29,"*;nlp - tópicos;*")&gt;0,1,0)</f>
        <v>1</v>
      </c>
      <c r="C187" s="10" t="n">
        <f aca="false">IF(COUNTIFS('1 · BBDD 2025 (insumo)'!$A$2:$A$29,$A187,'1 · BBDD 2025 (insumo)'!$T$2:$T$29,"*;voz a texto;*")&gt;0,1,0)</f>
        <v>0</v>
      </c>
      <c r="D187" s="10" t="n">
        <f aca="false">IF(COUNTIFS('1 · BBDD 2025 (insumo)'!$A$2:$A$29,$A187,'1 · BBDD 2025 (insumo)'!$T$2:$T$29,"*;llm;*")&gt;0,1,0)</f>
        <v>0</v>
      </c>
      <c r="E187" s="10" t="n">
        <f aca="false">IF(COUNTIFS('1 · BBDD 2025 (insumo)'!$A$2:$A$29,$A187,'1 · BBDD 2025 (insumo)'!$T$2:$T$29,"*;nlp;*")&gt;0,1,0)</f>
        <v>0</v>
      </c>
      <c r="F187" s="10" t="n">
        <f aca="false">IF(COUNTIFS('1 · BBDD 2025 (insumo)'!$A$2:$A$29,$A187,'1 · BBDD 2025 (insumo)'!$T$2:$T$29,"*;ml - inespecífico;*")&gt;0,1,0)</f>
        <v>0</v>
      </c>
      <c r="G187" s="10" t="n">
        <f aca="false">IF(COUNTIFS('1 · BBDD 2025 (insumo)'!$A$2:$A$29,$A187,'1 · BBDD 2025 (insumo)'!$T$2:$T$29,"*;chatbot - inespecífico;*")&gt;0,1,0)</f>
        <v>0</v>
      </c>
      <c r="H187" s="10" t="n">
        <f aca="false">IF(COUNTIFS('1 · BBDD 2025 (insumo)'!$A$2:$A$29,$A187,'1 · BBDD 2025 (insumo)'!$T$2:$T$29,"*;nlp - sentiment;*")&gt;0,1,0)</f>
        <v>1</v>
      </c>
      <c r="I187" s="10" t="n">
        <f aca="false">IF(COUNTIFS('1 · BBDD 2025 (insumo)'!$A$2:$A$29,$A187,'1 · BBDD 2025 (insumo)'!$T$2:$T$29,"*;visión computacional;*")&gt;0,1,0)</f>
        <v>1</v>
      </c>
      <c r="J187" s="10" t="n">
        <f aca="false">IF(COUNTIFS('1 · BBDD 2025 (insumo)'!$A$2:$A$29,$A187,'1 · BBDD 2025 (insumo)'!$T$2:$T$29,"*;sistemas de recomendación;*")&gt;0,1,0)</f>
        <v>0</v>
      </c>
      <c r="K187" s="12" t="n">
        <f aca="false">SUM(B187:J187)</f>
        <v>3</v>
      </c>
    </row>
    <row r="188" customFormat="false" ht="15" hidden="false" customHeight="false" outlineLevel="0" collapsed="false">
      <c r="A188" s="17" t="s">
        <v>244</v>
      </c>
      <c r="B188" s="10" t="n">
        <f aca="false">IF(COUNTIFS('1 · BBDD 2025 (insumo)'!$A$2:$A$29,$A188,'1 · BBDD 2025 (insumo)'!$T$2:$T$29,"*;nlp - tópicos;*")&gt;0,1,0)</f>
        <v>0</v>
      </c>
      <c r="C188" s="10" t="n">
        <f aca="false">IF(COUNTIFS('1 · BBDD 2025 (insumo)'!$A$2:$A$29,$A188,'1 · BBDD 2025 (insumo)'!$T$2:$T$29,"*;voz a texto;*")&gt;0,1,0)</f>
        <v>0</v>
      </c>
      <c r="D188" s="10" t="n">
        <f aca="false">IF(COUNTIFS('1 · BBDD 2025 (insumo)'!$A$2:$A$29,$A188,'1 · BBDD 2025 (insumo)'!$T$2:$T$29,"*;llm;*")&gt;0,1,0)</f>
        <v>0</v>
      </c>
      <c r="E188" s="10" t="n">
        <f aca="false">IF(COUNTIFS('1 · BBDD 2025 (insumo)'!$A$2:$A$29,$A188,'1 · BBDD 2025 (insumo)'!$T$2:$T$29,"*;nlp;*")&gt;0,1,0)</f>
        <v>0</v>
      </c>
      <c r="F188" s="10" t="n">
        <f aca="false">IF(COUNTIFS('1 · BBDD 2025 (insumo)'!$A$2:$A$29,$A188,'1 · BBDD 2025 (insumo)'!$T$2:$T$29,"*;ml - inespecífico;*")&gt;0,1,0)</f>
        <v>0</v>
      </c>
      <c r="G188" s="10" t="n">
        <f aca="false">IF(COUNTIFS('1 · BBDD 2025 (insumo)'!$A$2:$A$29,$A188,'1 · BBDD 2025 (insumo)'!$T$2:$T$29,"*;chatbot - inespecífico;*")&gt;0,1,0)</f>
        <v>0</v>
      </c>
      <c r="H188" s="10" t="n">
        <f aca="false">IF(COUNTIFS('1 · BBDD 2025 (insumo)'!$A$2:$A$29,$A188,'1 · BBDD 2025 (insumo)'!$T$2:$T$29,"*;nlp - sentiment;*")&gt;0,1,0)</f>
        <v>0</v>
      </c>
      <c r="I188" s="10" t="n">
        <f aca="false">IF(COUNTIFS('1 · BBDD 2025 (insumo)'!$A$2:$A$29,$A188,'1 · BBDD 2025 (insumo)'!$T$2:$T$29,"*;visión computacional;*")&gt;0,1,0)</f>
        <v>0</v>
      </c>
      <c r="J188" s="10" t="n">
        <f aca="false">IF(COUNTIFS('1 · BBDD 2025 (insumo)'!$A$2:$A$29,$A188,'1 · BBDD 2025 (insumo)'!$T$2:$T$29,"*;sistemas de recomendación;*")&gt;0,1,0)</f>
        <v>0</v>
      </c>
      <c r="K188" s="12" t="n">
        <f aca="false">SUM(B188:J188)</f>
        <v>0</v>
      </c>
    </row>
    <row r="189" customFormat="false" ht="15" hidden="false" customHeight="false" outlineLevel="0" collapsed="false">
      <c r="A189" s="17" t="s">
        <v>245</v>
      </c>
      <c r="B189" s="10" t="n">
        <f aca="false">IF(COUNTIFS('1 · BBDD 2025 (insumo)'!$A$2:$A$29,$A189,'1 · BBDD 2025 (insumo)'!$T$2:$T$29,"*;nlp - tópicos;*")&gt;0,1,0)</f>
        <v>0</v>
      </c>
      <c r="C189" s="10" t="n">
        <f aca="false">IF(COUNTIFS('1 · BBDD 2025 (insumo)'!$A$2:$A$29,$A189,'1 · BBDD 2025 (insumo)'!$T$2:$T$29,"*;voz a texto;*")&gt;0,1,0)</f>
        <v>0</v>
      </c>
      <c r="D189" s="10" t="n">
        <f aca="false">IF(COUNTIFS('1 · BBDD 2025 (insumo)'!$A$2:$A$29,$A189,'1 · BBDD 2025 (insumo)'!$T$2:$T$29,"*;llm;*")&gt;0,1,0)</f>
        <v>0</v>
      </c>
      <c r="E189" s="10" t="n">
        <f aca="false">IF(COUNTIFS('1 · BBDD 2025 (insumo)'!$A$2:$A$29,$A189,'1 · BBDD 2025 (insumo)'!$T$2:$T$29,"*;nlp;*")&gt;0,1,0)</f>
        <v>0</v>
      </c>
      <c r="F189" s="10" t="n">
        <f aca="false">IF(COUNTIFS('1 · BBDD 2025 (insumo)'!$A$2:$A$29,$A189,'1 · BBDD 2025 (insumo)'!$T$2:$T$29,"*;ml - inespecífico;*")&gt;0,1,0)</f>
        <v>0</v>
      </c>
      <c r="G189" s="10" t="n">
        <f aca="false">IF(COUNTIFS('1 · BBDD 2025 (insumo)'!$A$2:$A$29,$A189,'1 · BBDD 2025 (insumo)'!$T$2:$T$29,"*;chatbot - inespecífico;*")&gt;0,1,0)</f>
        <v>0</v>
      </c>
      <c r="H189" s="10" t="n">
        <f aca="false">IF(COUNTIFS('1 · BBDD 2025 (insumo)'!$A$2:$A$29,$A189,'1 · BBDD 2025 (insumo)'!$T$2:$T$29,"*;nlp - sentiment;*")&gt;0,1,0)</f>
        <v>0</v>
      </c>
      <c r="I189" s="10" t="n">
        <f aca="false">IF(COUNTIFS('1 · BBDD 2025 (insumo)'!$A$2:$A$29,$A189,'1 · BBDD 2025 (insumo)'!$T$2:$T$29,"*;visión computacional;*")&gt;0,1,0)</f>
        <v>0</v>
      </c>
      <c r="J189" s="10" t="n">
        <f aca="false">IF(COUNTIFS('1 · BBDD 2025 (insumo)'!$A$2:$A$29,$A189,'1 · BBDD 2025 (insumo)'!$T$2:$T$29,"*;sistemas de recomendación;*")&gt;0,1,0)</f>
        <v>0</v>
      </c>
      <c r="K189" s="12" t="n">
        <f aca="false">SUM(B189:J189)</f>
        <v>0</v>
      </c>
    </row>
    <row r="190" customFormat="false" ht="15" hidden="false" customHeight="false" outlineLevel="0" collapsed="false">
      <c r="A190" s="17" t="s">
        <v>246</v>
      </c>
      <c r="B190" s="10" t="n">
        <f aca="false">IF(COUNTIFS('1 · BBDD 2025 (insumo)'!$A$2:$A$29,$A190,'1 · BBDD 2025 (insumo)'!$T$2:$T$29,"*;nlp - tópicos;*")&gt;0,1,0)</f>
        <v>0</v>
      </c>
      <c r="C190" s="10" t="n">
        <f aca="false">IF(COUNTIFS('1 · BBDD 2025 (insumo)'!$A$2:$A$29,$A190,'1 · BBDD 2025 (insumo)'!$T$2:$T$29,"*;voz a texto;*")&gt;0,1,0)</f>
        <v>0</v>
      </c>
      <c r="D190" s="10" t="n">
        <f aca="false">IF(COUNTIFS('1 · BBDD 2025 (insumo)'!$A$2:$A$29,$A190,'1 · BBDD 2025 (insumo)'!$T$2:$T$29,"*;llm;*")&gt;0,1,0)</f>
        <v>0</v>
      </c>
      <c r="E190" s="10" t="n">
        <f aca="false">IF(COUNTIFS('1 · BBDD 2025 (insumo)'!$A$2:$A$29,$A190,'1 · BBDD 2025 (insumo)'!$T$2:$T$29,"*;nlp;*")&gt;0,1,0)</f>
        <v>0</v>
      </c>
      <c r="F190" s="10" t="n">
        <f aca="false">IF(COUNTIFS('1 · BBDD 2025 (insumo)'!$A$2:$A$29,$A190,'1 · BBDD 2025 (insumo)'!$T$2:$T$29,"*;ml - inespecífico;*")&gt;0,1,0)</f>
        <v>0</v>
      </c>
      <c r="G190" s="10" t="n">
        <f aca="false">IF(COUNTIFS('1 · BBDD 2025 (insumo)'!$A$2:$A$29,$A190,'1 · BBDD 2025 (insumo)'!$T$2:$T$29,"*;chatbot - inespecífico;*")&gt;0,1,0)</f>
        <v>0</v>
      </c>
      <c r="H190" s="10" t="n">
        <f aca="false">IF(COUNTIFS('1 · BBDD 2025 (insumo)'!$A$2:$A$29,$A190,'1 · BBDD 2025 (insumo)'!$T$2:$T$29,"*;nlp - sentiment;*")&gt;0,1,0)</f>
        <v>0</v>
      </c>
      <c r="I190" s="10" t="n">
        <f aca="false">IF(COUNTIFS('1 · BBDD 2025 (insumo)'!$A$2:$A$29,$A190,'1 · BBDD 2025 (insumo)'!$T$2:$T$29,"*;visión computacional;*")&gt;0,1,0)</f>
        <v>0</v>
      </c>
      <c r="J190" s="10" t="n">
        <f aca="false">IF(COUNTIFS('1 · BBDD 2025 (insumo)'!$A$2:$A$29,$A190,'1 · BBDD 2025 (insumo)'!$T$2:$T$29,"*;sistemas de recomendación;*")&gt;0,1,0)</f>
        <v>0</v>
      </c>
      <c r="K190" s="12" t="n">
        <f aca="false">SUM(B190:J190)</f>
        <v>0</v>
      </c>
    </row>
    <row r="191" customFormat="false" ht="15" hidden="false" customHeight="false" outlineLevel="0" collapsed="false">
      <c r="A191" s="17" t="s">
        <v>248</v>
      </c>
      <c r="B191" s="10" t="n">
        <f aca="false">IF(COUNTIFS('1 · BBDD 2025 (insumo)'!$A$2:$A$29,$A191,'1 · BBDD 2025 (insumo)'!$T$2:$T$29,"*;nlp - tópicos;*")&gt;0,1,0)</f>
        <v>0</v>
      </c>
      <c r="C191" s="10" t="n">
        <f aca="false">IF(COUNTIFS('1 · BBDD 2025 (insumo)'!$A$2:$A$29,$A191,'1 · BBDD 2025 (insumo)'!$T$2:$T$29,"*;voz a texto;*")&gt;0,1,0)</f>
        <v>0</v>
      </c>
      <c r="D191" s="10" t="n">
        <f aca="false">IF(COUNTIFS('1 · BBDD 2025 (insumo)'!$A$2:$A$29,$A191,'1 · BBDD 2025 (insumo)'!$T$2:$T$29,"*;llm;*")&gt;0,1,0)</f>
        <v>0</v>
      </c>
      <c r="E191" s="10" t="n">
        <f aca="false">IF(COUNTIFS('1 · BBDD 2025 (insumo)'!$A$2:$A$29,$A191,'1 · BBDD 2025 (insumo)'!$T$2:$T$29,"*;nlp;*")&gt;0,1,0)</f>
        <v>0</v>
      </c>
      <c r="F191" s="10" t="n">
        <f aca="false">IF(COUNTIFS('1 · BBDD 2025 (insumo)'!$A$2:$A$29,$A191,'1 · BBDD 2025 (insumo)'!$T$2:$T$29,"*;ml - inespecífico;*")&gt;0,1,0)</f>
        <v>0</v>
      </c>
      <c r="G191" s="10" t="n">
        <f aca="false">IF(COUNTIFS('1 · BBDD 2025 (insumo)'!$A$2:$A$29,$A191,'1 · BBDD 2025 (insumo)'!$T$2:$T$29,"*;chatbot - inespecífico;*")&gt;0,1,0)</f>
        <v>0</v>
      </c>
      <c r="H191" s="10" t="n">
        <f aca="false">IF(COUNTIFS('1 · BBDD 2025 (insumo)'!$A$2:$A$29,$A191,'1 · BBDD 2025 (insumo)'!$T$2:$T$29,"*;nlp - sentiment;*")&gt;0,1,0)</f>
        <v>0</v>
      </c>
      <c r="I191" s="10" t="n">
        <f aca="false">IF(COUNTIFS('1 · BBDD 2025 (insumo)'!$A$2:$A$29,$A191,'1 · BBDD 2025 (insumo)'!$T$2:$T$29,"*;visión computacional;*")&gt;0,1,0)</f>
        <v>0</v>
      </c>
      <c r="J191" s="10" t="n">
        <f aca="false">IF(COUNTIFS('1 · BBDD 2025 (insumo)'!$A$2:$A$29,$A191,'1 · BBDD 2025 (insumo)'!$T$2:$T$29,"*;sistemas de recomendación;*")&gt;0,1,0)</f>
        <v>0</v>
      </c>
      <c r="K191" s="12" t="n">
        <f aca="false">SUM(B191:J191)</f>
        <v>0</v>
      </c>
    </row>
    <row r="192" customFormat="false" ht="15" hidden="false" customHeight="false" outlineLevel="0" collapsed="false">
      <c r="A192" s="17" t="s">
        <v>249</v>
      </c>
      <c r="B192" s="10" t="n">
        <f aca="false">IF(COUNTIFS('1 · BBDD 2025 (insumo)'!$A$2:$A$29,$A192,'1 · BBDD 2025 (insumo)'!$T$2:$T$29,"*;nlp - tópicos;*")&gt;0,1,0)</f>
        <v>0</v>
      </c>
      <c r="C192" s="10" t="n">
        <f aca="false">IF(COUNTIFS('1 · BBDD 2025 (insumo)'!$A$2:$A$29,$A192,'1 · BBDD 2025 (insumo)'!$T$2:$T$29,"*;voz a texto;*")&gt;0,1,0)</f>
        <v>0</v>
      </c>
      <c r="D192" s="10" t="n">
        <f aca="false">IF(COUNTIFS('1 · BBDD 2025 (insumo)'!$A$2:$A$29,$A192,'1 · BBDD 2025 (insumo)'!$T$2:$T$29,"*;llm;*")&gt;0,1,0)</f>
        <v>0</v>
      </c>
      <c r="E192" s="10" t="n">
        <f aca="false">IF(COUNTIFS('1 · BBDD 2025 (insumo)'!$A$2:$A$29,$A192,'1 · BBDD 2025 (insumo)'!$T$2:$T$29,"*;nlp;*")&gt;0,1,0)</f>
        <v>0</v>
      </c>
      <c r="F192" s="10" t="n">
        <f aca="false">IF(COUNTIFS('1 · BBDD 2025 (insumo)'!$A$2:$A$29,$A192,'1 · BBDD 2025 (insumo)'!$T$2:$T$29,"*;ml - inespecífico;*")&gt;0,1,0)</f>
        <v>0</v>
      </c>
      <c r="G192" s="10" t="n">
        <f aca="false">IF(COUNTIFS('1 · BBDD 2025 (insumo)'!$A$2:$A$29,$A192,'1 · BBDD 2025 (insumo)'!$T$2:$T$29,"*;chatbot - inespecífico;*")&gt;0,1,0)</f>
        <v>0</v>
      </c>
      <c r="H192" s="10" t="n">
        <f aca="false">IF(COUNTIFS('1 · BBDD 2025 (insumo)'!$A$2:$A$29,$A192,'1 · BBDD 2025 (insumo)'!$T$2:$T$29,"*;nlp - sentiment;*")&gt;0,1,0)</f>
        <v>0</v>
      </c>
      <c r="I192" s="10" t="n">
        <f aca="false">IF(COUNTIFS('1 · BBDD 2025 (insumo)'!$A$2:$A$29,$A192,'1 · BBDD 2025 (insumo)'!$T$2:$T$29,"*;visión computacional;*")&gt;0,1,0)</f>
        <v>0</v>
      </c>
      <c r="J192" s="10" t="n">
        <f aca="false">IF(COUNTIFS('1 · BBDD 2025 (insumo)'!$A$2:$A$29,$A192,'1 · BBDD 2025 (insumo)'!$T$2:$T$29,"*;sistemas de recomendación;*")&gt;0,1,0)</f>
        <v>0</v>
      </c>
      <c r="K192" s="12" t="n">
        <f aca="false">SUM(B192:J192)</f>
        <v>0</v>
      </c>
    </row>
  </sheetData>
  <mergeCells count="1">
    <mergeCell ref="E26:T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0" min="2" style="0" width="11"/>
  </cols>
  <sheetData>
    <row r="1" customFormat="false" ht="15" hidden="false" customHeight="false" outlineLevel="0" collapsed="false">
      <c r="A1" s="8" t="s">
        <v>290</v>
      </c>
    </row>
    <row r="2" customFormat="false" ht="57.75" hidden="false" customHeight="true" outlineLevel="0" collapsed="false">
      <c r="A2" s="1" t="s">
        <v>0</v>
      </c>
      <c r="B2" s="1" t="s">
        <v>291</v>
      </c>
      <c r="C2" s="1" t="s">
        <v>292</v>
      </c>
      <c r="D2" s="1" t="s">
        <v>293</v>
      </c>
      <c r="E2" s="1" t="s">
        <v>220</v>
      </c>
      <c r="F2" s="1" t="s">
        <v>294</v>
      </c>
      <c r="G2" s="1" t="s">
        <v>295</v>
      </c>
      <c r="H2" s="1" t="s">
        <v>296</v>
      </c>
      <c r="I2" s="1" t="s">
        <v>297</v>
      </c>
      <c r="J2" s="1" t="s">
        <v>298</v>
      </c>
      <c r="K2" s="1" t="s">
        <v>299</v>
      </c>
      <c r="L2" s="1" t="s">
        <v>300</v>
      </c>
      <c r="M2" s="1" t="s">
        <v>301</v>
      </c>
      <c r="N2" s="1" t="s">
        <v>302</v>
      </c>
      <c r="O2" s="1" t="s">
        <v>227</v>
      </c>
      <c r="P2" s="1" t="s">
        <v>303</v>
      </c>
      <c r="Q2" s="1" t="s">
        <v>304</v>
      </c>
      <c r="R2" s="1" t="s">
        <v>305</v>
      </c>
      <c r="S2" s="1" t="s">
        <v>234</v>
      </c>
      <c r="T2" s="1" t="s">
        <v>306</v>
      </c>
    </row>
    <row r="3" customFormat="false" ht="15" hidden="false" customHeight="false" outlineLevel="0" collapsed="false">
      <c r="A3" s="9" t="s">
        <v>240</v>
      </c>
      <c r="B3" s="10" t="n">
        <f aca="false">COUNTIF('1 · BBDD 2025 (insumo)'!$A$2:$A$29,$A3)</f>
        <v>0</v>
      </c>
      <c r="C3" s="10" t="n">
        <f aca="false">'2 · Cálculo 2025 · f. antigua'!C3</f>
        <v>0</v>
      </c>
      <c r="D3" s="11" t="n">
        <f aca="false">C3/5*100</f>
        <v>0</v>
      </c>
      <c r="E3" s="10" t="n">
        <f aca="false">'2 · Cálculo 2025 · f. antigua'!E3</f>
        <v>0</v>
      </c>
      <c r="F3" s="11" t="n">
        <f aca="false">E3/4*100</f>
        <v>0</v>
      </c>
      <c r="G3" s="10" t="n">
        <f aca="false">_xlfn.MAXIFS('1 · BBDD 2025 (insumo)'!$AW$2:$AW$29,'1 · BBDD 2025 (insumo)'!$A$2:$A$29,$A3)</f>
        <v>0</v>
      </c>
      <c r="H3" s="11" t="n">
        <f aca="false">G3/3*100</f>
        <v>0</v>
      </c>
      <c r="I3" s="10" t="n">
        <f aca="false">$E$47</f>
        <v>0</v>
      </c>
      <c r="J3" s="10" t="n">
        <f aca="false">$F$71</f>
        <v>0</v>
      </c>
      <c r="K3" s="10" t="n">
        <f aca="false">SUMIFS('1 · BBDD 2025 (insumo)'!$AY$2:$AY$29,'1 · BBDD 2025 (insumo)'!$A$2:$A$29,$A3)</f>
        <v>0</v>
      </c>
      <c r="L3" s="11" t="n">
        <f aca="false">(I3/3+J3/4+IF($C$27=0,0,K3/$C$27))/3*100</f>
        <v>0</v>
      </c>
      <c r="M3" s="10" t="n">
        <f aca="false">IF(B3=0,$F$29,IF(B3&lt;=3,$F$30,IF(B3&lt;=6,$F$31,IF(B3&lt;=9,$F$32,$F$33))))</f>
        <v>0</v>
      </c>
      <c r="N3" s="11" t="n">
        <f aca="false">(D3+F3+H3+L3+M3)/5</f>
        <v>0</v>
      </c>
      <c r="O3" s="12" t="n">
        <f aca="false">ROUND(N3,0)</f>
        <v>0</v>
      </c>
      <c r="P3" s="11" t="n">
        <f aca="false">'2 · Cálculo 2025 · f. antigua'!O3</f>
        <v>0</v>
      </c>
      <c r="Q3" s="11" t="n">
        <f aca="false">'2 · Cálculo 2025 · f. antigua'!Q3</f>
        <v>0</v>
      </c>
      <c r="R3" s="11" t="n">
        <f aca="false">'2 · Cálculo 2025 · f. antigua'!R3</f>
        <v>0</v>
      </c>
      <c r="S3" s="12" t="n">
        <f aca="false">ROUND(R3,0)</f>
        <v>0</v>
      </c>
      <c r="T3" s="18" t="n">
        <f aca="false">ROUND((O3+S3)/2,0)</f>
        <v>0</v>
      </c>
    </row>
    <row r="4" customFormat="false" ht="15" hidden="false" customHeight="false" outlineLevel="0" collapsed="false">
      <c r="A4" s="9" t="s">
        <v>51</v>
      </c>
      <c r="B4" s="10" t="n">
        <f aca="false">COUNTIF('1 · BBDD 2025 (insumo)'!$A$2:$A$29,$A4)</f>
        <v>1</v>
      </c>
      <c r="C4" s="10" t="n">
        <f aca="false">'2 · Cálculo 2025 · f. antigua'!C4</f>
        <v>1</v>
      </c>
      <c r="D4" s="11" t="n">
        <f aca="false">C4/5*100</f>
        <v>20</v>
      </c>
      <c r="E4" s="10" t="n">
        <f aca="false">'2 · Cálculo 2025 · f. antigua'!E4</f>
        <v>2</v>
      </c>
      <c r="F4" s="11" t="n">
        <f aca="false">E4/4*100</f>
        <v>50</v>
      </c>
      <c r="G4" s="10" t="n">
        <f aca="false">_xlfn.MAXIFS('1 · BBDD 2025 (insumo)'!$AW$2:$AW$29,'1 · BBDD 2025 (insumo)'!$A$2:$A$29,$A4)</f>
        <v>2</v>
      </c>
      <c r="H4" s="11" t="n">
        <f aca="false">G4/3*100</f>
        <v>66.6666666666667</v>
      </c>
      <c r="I4" s="10" t="n">
        <f aca="false">$E$48</f>
        <v>1</v>
      </c>
      <c r="J4" s="10" t="n">
        <f aca="false">$F$72</f>
        <v>1</v>
      </c>
      <c r="K4" s="10" t="n">
        <f aca="false">SUMIFS('1 · BBDD 2025 (insumo)'!$AY$2:$AY$29,'1 · BBDD 2025 (insumo)'!$A$2:$A$29,$A4)</f>
        <v>1</v>
      </c>
      <c r="L4" s="11" t="n">
        <f aca="false">(I4/3+J4/4+IF($C$27=0,0,K4/$C$27))/3*100</f>
        <v>36.1111111111111</v>
      </c>
      <c r="M4" s="10" t="n">
        <f aca="false">IF(B4=0,$F$29,IF(B4&lt;=3,$F$30,IF(B4&lt;=6,$F$31,IF(B4&lt;=9,$F$32,$F$33))))</f>
        <v>25</v>
      </c>
      <c r="N4" s="11" t="n">
        <f aca="false">(D4+F4+H4+L4+M4)/5</f>
        <v>39.5555555555556</v>
      </c>
      <c r="O4" s="12" t="n">
        <f aca="false">ROUND(N4,0)</f>
        <v>40</v>
      </c>
      <c r="P4" s="11" t="n">
        <f aca="false">'2 · Cálculo 2025 · f. antigua'!O4</f>
        <v>25</v>
      </c>
      <c r="Q4" s="11" t="n">
        <f aca="false">'2 · Cálculo 2025 · f. antigua'!Q4</f>
        <v>20</v>
      </c>
      <c r="R4" s="11" t="n">
        <f aca="false">'2 · Cálculo 2025 · f. antigua'!R4</f>
        <v>22.5</v>
      </c>
      <c r="S4" s="12" t="n">
        <f aca="false">ROUND(R4,0)</f>
        <v>23</v>
      </c>
      <c r="T4" s="18" t="n">
        <f aca="false">ROUND((O4+S4)/2,0)</f>
        <v>32</v>
      </c>
    </row>
    <row r="5" customFormat="false" ht="15" hidden="false" customHeight="false" outlineLevel="0" collapsed="false">
      <c r="A5" s="9" t="s">
        <v>63</v>
      </c>
      <c r="B5" s="10" t="n">
        <f aca="false">COUNTIF('1 · BBDD 2025 (insumo)'!$A$2:$A$29,$A5)</f>
        <v>4</v>
      </c>
      <c r="C5" s="10" t="n">
        <f aca="false">'2 · Cálculo 2025 · f. antigua'!C5</f>
        <v>1</v>
      </c>
      <c r="D5" s="11" t="n">
        <f aca="false">C5/5*100</f>
        <v>20</v>
      </c>
      <c r="E5" s="10" t="n">
        <f aca="false">'2 · Cálculo 2025 · f. antigua'!E5</f>
        <v>3</v>
      </c>
      <c r="F5" s="11" t="n">
        <f aca="false">E5/4*100</f>
        <v>75</v>
      </c>
      <c r="G5" s="10" t="n">
        <f aca="false">_xlfn.MAXIFS('1 · BBDD 2025 (insumo)'!$AW$2:$AW$29,'1 · BBDD 2025 (insumo)'!$A$2:$A$29,$A5)</f>
        <v>2</v>
      </c>
      <c r="H5" s="11" t="n">
        <f aca="false">G5/3*100</f>
        <v>66.6666666666667</v>
      </c>
      <c r="I5" s="10" t="n">
        <f aca="false">$E$49</f>
        <v>2</v>
      </c>
      <c r="J5" s="10" t="n">
        <f aca="false">$F$73</f>
        <v>2</v>
      </c>
      <c r="K5" s="10" t="n">
        <f aca="false">SUMIFS('1 · BBDD 2025 (insumo)'!$AY$2:$AY$29,'1 · BBDD 2025 (insumo)'!$A$2:$A$29,$A5)</f>
        <v>0</v>
      </c>
      <c r="L5" s="11" t="n">
        <f aca="false">(I5/3+J5/4+IF($C$27=0,0,K5/$C$27))/3*100</f>
        <v>38.8888888888889</v>
      </c>
      <c r="M5" s="10" t="n">
        <f aca="false">IF(B5=0,$F$29,IF(B5&lt;=3,$F$30,IF(B5&lt;=6,$F$31,IF(B5&lt;=9,$F$32,$F$33))))</f>
        <v>50</v>
      </c>
      <c r="N5" s="11" t="n">
        <f aca="false">(D5+F5+H5+L5+M5)/5</f>
        <v>50.1111111111111</v>
      </c>
      <c r="O5" s="12" t="n">
        <f aca="false">ROUND(N5,0)</f>
        <v>50</v>
      </c>
      <c r="P5" s="11" t="n">
        <f aca="false">'2 · Cálculo 2025 · f. antigua'!O5</f>
        <v>100</v>
      </c>
      <c r="Q5" s="11" t="n">
        <f aca="false">'2 · Cálculo 2025 · f. antigua'!Q5</f>
        <v>100</v>
      </c>
      <c r="R5" s="11" t="n">
        <f aca="false">'2 · Cálculo 2025 · f. antigua'!R5</f>
        <v>100</v>
      </c>
      <c r="S5" s="12" t="n">
        <f aca="false">ROUND(R5,0)</f>
        <v>100</v>
      </c>
      <c r="T5" s="18" t="n">
        <f aca="false">ROUND((O5+S5)/2,0)</f>
        <v>75</v>
      </c>
    </row>
    <row r="6" customFormat="false" ht="15" hidden="false" customHeight="false" outlineLevel="0" collapsed="false">
      <c r="A6" s="9" t="s">
        <v>96</v>
      </c>
      <c r="B6" s="10" t="n">
        <f aca="false">COUNTIF('1 · BBDD 2025 (insumo)'!$A$2:$A$29,$A6)</f>
        <v>9</v>
      </c>
      <c r="C6" s="10" t="n">
        <f aca="false">'2 · Cálculo 2025 · f. antigua'!C6</f>
        <v>1</v>
      </c>
      <c r="D6" s="11" t="n">
        <f aca="false">C6/5*100</f>
        <v>20</v>
      </c>
      <c r="E6" s="10" t="n">
        <f aca="false">'2 · Cálculo 2025 · f. antigua'!E6</f>
        <v>2</v>
      </c>
      <c r="F6" s="11" t="n">
        <f aca="false">E6/4*100</f>
        <v>50</v>
      </c>
      <c r="G6" s="10" t="n">
        <f aca="false">_xlfn.MAXIFS('1 · BBDD 2025 (insumo)'!$AW$2:$AW$29,'1 · BBDD 2025 (insumo)'!$A$2:$A$29,$A6)</f>
        <v>2</v>
      </c>
      <c r="H6" s="11" t="n">
        <f aca="false">G6/3*100</f>
        <v>66.6666666666667</v>
      </c>
      <c r="I6" s="10" t="n">
        <f aca="false">$E$50</f>
        <v>2</v>
      </c>
      <c r="J6" s="10" t="n">
        <f aca="false">$F$74</f>
        <v>3</v>
      </c>
      <c r="K6" s="10" t="n">
        <f aca="false">SUMIFS('1 · BBDD 2025 (insumo)'!$AY$2:$AY$29,'1 · BBDD 2025 (insumo)'!$A$2:$A$29,$A6)</f>
        <v>1</v>
      </c>
      <c r="L6" s="11" t="n">
        <f aca="false">(I6/3+J6/4+IF($C$27=0,0,K6/$C$27))/3*100</f>
        <v>63.8888888888889</v>
      </c>
      <c r="M6" s="10" t="n">
        <f aca="false">IF(B6=0,$F$29,IF(B6&lt;=3,$F$30,IF(B6&lt;=6,$F$31,IF(B6&lt;=9,$F$32,$F$33))))</f>
        <v>75</v>
      </c>
      <c r="N6" s="11" t="n">
        <f aca="false">(D6+F6+H6+L6+M6)/5</f>
        <v>55.1111111111111</v>
      </c>
      <c r="O6" s="12" t="n">
        <f aca="false">ROUND(N6,0)</f>
        <v>55</v>
      </c>
      <c r="P6" s="11" t="n">
        <f aca="false">'2 · Cálculo 2025 · f. antigua'!O6</f>
        <v>58.3333333333333</v>
      </c>
      <c r="Q6" s="11" t="n">
        <f aca="false">'2 · Cálculo 2025 · f. antigua'!Q6</f>
        <v>60</v>
      </c>
      <c r="R6" s="11" t="n">
        <f aca="false">'2 · Cálculo 2025 · f. antigua'!R6</f>
        <v>59.1666666666667</v>
      </c>
      <c r="S6" s="12" t="n">
        <f aca="false">ROUND(R6,0)</f>
        <v>59</v>
      </c>
      <c r="T6" s="18" t="n">
        <f aca="false">ROUND((O6+S6)/2,0)</f>
        <v>57</v>
      </c>
    </row>
    <row r="7" customFormat="false" ht="15" hidden="false" customHeight="false" outlineLevel="0" collapsed="false">
      <c r="A7" s="9" t="s">
        <v>128</v>
      </c>
      <c r="B7" s="10" t="n">
        <f aca="false">COUNTIF('1 · BBDD 2025 (insumo)'!$A$2:$A$29,$A7)</f>
        <v>4</v>
      </c>
      <c r="C7" s="10" t="n">
        <f aca="false">'2 · Cálculo 2025 · f. antigua'!C7</f>
        <v>3</v>
      </c>
      <c r="D7" s="11" t="n">
        <f aca="false">C7/5*100</f>
        <v>60</v>
      </c>
      <c r="E7" s="10" t="n">
        <f aca="false">'2 · Cálculo 2025 · f. antigua'!E7</f>
        <v>2</v>
      </c>
      <c r="F7" s="11" t="n">
        <f aca="false">E7/4*100</f>
        <v>50</v>
      </c>
      <c r="G7" s="10" t="n">
        <f aca="false">_xlfn.MAXIFS('1 · BBDD 2025 (insumo)'!$AW$2:$AW$29,'1 · BBDD 2025 (insumo)'!$A$2:$A$29,$A7)</f>
        <v>2</v>
      </c>
      <c r="H7" s="11" t="n">
        <f aca="false">G7/3*100</f>
        <v>66.6666666666667</v>
      </c>
      <c r="I7" s="10" t="n">
        <f aca="false">$E$51</f>
        <v>2</v>
      </c>
      <c r="J7" s="10" t="n">
        <f aca="false">$F$75</f>
        <v>4</v>
      </c>
      <c r="K7" s="10" t="n">
        <f aca="false">SUMIFS('1 · BBDD 2025 (insumo)'!$AY$2:$AY$29,'1 · BBDD 2025 (insumo)'!$A$2:$A$29,$A7)</f>
        <v>2</v>
      </c>
      <c r="L7" s="11" t="n">
        <f aca="false">(I7/3+J7/4+IF($C$27=0,0,K7/$C$27))/3*100</f>
        <v>88.8888888888889</v>
      </c>
      <c r="M7" s="10" t="n">
        <f aca="false">IF(B7=0,$F$29,IF(B7&lt;=3,$F$30,IF(B7&lt;=6,$F$31,IF(B7&lt;=9,$F$32,$F$33))))</f>
        <v>50</v>
      </c>
      <c r="N7" s="11" t="n">
        <f aca="false">(D7+F7+H7+L7+M7)/5</f>
        <v>63.1111111111111</v>
      </c>
      <c r="O7" s="12" t="n">
        <f aca="false">ROUND(N7,0)</f>
        <v>63</v>
      </c>
      <c r="P7" s="11" t="n">
        <f aca="false">'2 · Cálculo 2025 · f. antigua'!O7</f>
        <v>100</v>
      </c>
      <c r="Q7" s="11" t="n">
        <f aca="false">'2 · Cálculo 2025 · f. antigua'!Q7</f>
        <v>100</v>
      </c>
      <c r="R7" s="11" t="n">
        <f aca="false">'2 · Cálculo 2025 · f. antigua'!R7</f>
        <v>100</v>
      </c>
      <c r="S7" s="12" t="n">
        <f aca="false">ROUND(R7,0)</f>
        <v>100</v>
      </c>
      <c r="T7" s="18" t="n">
        <f aca="false">ROUND((O7+S7)/2,0)</f>
        <v>82</v>
      </c>
    </row>
    <row r="8" customFormat="false" ht="15" hidden="false" customHeight="false" outlineLevel="0" collapsed="false">
      <c r="A8" s="9" t="s">
        <v>151</v>
      </c>
      <c r="B8" s="10" t="n">
        <f aca="false">COUNTIF('1 · BBDD 2025 (insumo)'!$A$2:$A$29,$A8)</f>
        <v>2</v>
      </c>
      <c r="C8" s="10" t="n">
        <f aca="false">'2 · Cálculo 2025 · f. antigua'!C8</f>
        <v>1</v>
      </c>
      <c r="D8" s="11" t="n">
        <f aca="false">C8/5*100</f>
        <v>20</v>
      </c>
      <c r="E8" s="10" t="n">
        <f aca="false">'2 · Cálculo 2025 · f. antigua'!E8</f>
        <v>2</v>
      </c>
      <c r="F8" s="11" t="n">
        <f aca="false">E8/4*100</f>
        <v>50</v>
      </c>
      <c r="G8" s="10" t="n">
        <f aca="false">_xlfn.MAXIFS('1 · BBDD 2025 (insumo)'!$AW$2:$AW$29,'1 · BBDD 2025 (insumo)'!$A$2:$A$29,$A8)</f>
        <v>2</v>
      </c>
      <c r="H8" s="11" t="n">
        <f aca="false">G8/3*100</f>
        <v>66.6666666666667</v>
      </c>
      <c r="I8" s="10" t="n">
        <f aca="false">$E$52</f>
        <v>1</v>
      </c>
      <c r="J8" s="10" t="n">
        <f aca="false">$F$76</f>
        <v>1</v>
      </c>
      <c r="K8" s="10" t="n">
        <f aca="false">SUMIFS('1 · BBDD 2025 (insumo)'!$AY$2:$AY$29,'1 · BBDD 2025 (insumo)'!$A$2:$A$29,$A8)</f>
        <v>0</v>
      </c>
      <c r="L8" s="11" t="n">
        <f aca="false">(I8/3+J8/4+IF($C$27=0,0,K8/$C$27))/3*100</f>
        <v>19.4444444444444</v>
      </c>
      <c r="M8" s="10" t="n">
        <f aca="false">IF(B8=0,$F$29,IF(B8&lt;=3,$F$30,IF(B8&lt;=6,$F$31,IF(B8&lt;=9,$F$32,$F$33))))</f>
        <v>25</v>
      </c>
      <c r="N8" s="11" t="n">
        <f aca="false">(D8+F8+H8+L8+M8)/5</f>
        <v>36.2222222222222</v>
      </c>
      <c r="O8" s="12" t="n">
        <f aca="false">ROUND(N8,0)</f>
        <v>36</v>
      </c>
      <c r="P8" s="11" t="n">
        <f aca="false">'2 · Cálculo 2025 · f. antigua'!O8</f>
        <v>66.6666666666667</v>
      </c>
      <c r="Q8" s="11" t="n">
        <f aca="false">'2 · Cálculo 2025 · f. antigua'!Q8</f>
        <v>40</v>
      </c>
      <c r="R8" s="11" t="n">
        <f aca="false">'2 · Cálculo 2025 · f. antigua'!R8</f>
        <v>53.3333333333333</v>
      </c>
      <c r="S8" s="12" t="n">
        <f aca="false">ROUND(R8,0)</f>
        <v>53</v>
      </c>
      <c r="T8" s="18" t="n">
        <f aca="false">ROUND((O8+S8)/2,0)</f>
        <v>45</v>
      </c>
    </row>
    <row r="9" customFormat="false" ht="15" hidden="false" customHeight="false" outlineLevel="0" collapsed="false">
      <c r="A9" s="9" t="s">
        <v>241</v>
      </c>
      <c r="B9" s="10" t="n">
        <f aca="false">COUNTIF('1 · BBDD 2025 (insumo)'!$A$2:$A$29,$A9)</f>
        <v>0</v>
      </c>
      <c r="C9" s="10" t="n">
        <f aca="false">'2 · Cálculo 2025 · f. antigua'!C9</f>
        <v>0</v>
      </c>
      <c r="D9" s="11" t="n">
        <f aca="false">C9/5*100</f>
        <v>0</v>
      </c>
      <c r="E9" s="10" t="n">
        <f aca="false">'2 · Cálculo 2025 · f. antigua'!E9</f>
        <v>0</v>
      </c>
      <c r="F9" s="11" t="n">
        <f aca="false">E9/4*100</f>
        <v>0</v>
      </c>
      <c r="G9" s="10" t="n">
        <f aca="false">_xlfn.MAXIFS('1 · BBDD 2025 (insumo)'!$AW$2:$AW$29,'1 · BBDD 2025 (insumo)'!$A$2:$A$29,$A9)</f>
        <v>0</v>
      </c>
      <c r="H9" s="11" t="n">
        <f aca="false">G9/3*100</f>
        <v>0</v>
      </c>
      <c r="I9" s="10" t="n">
        <f aca="false">$E$53</f>
        <v>0</v>
      </c>
      <c r="J9" s="10" t="n">
        <f aca="false">$F$77</f>
        <v>0</v>
      </c>
      <c r="K9" s="10" t="n">
        <f aca="false">SUMIFS('1 · BBDD 2025 (insumo)'!$AY$2:$AY$29,'1 · BBDD 2025 (insumo)'!$A$2:$A$29,$A9)</f>
        <v>0</v>
      </c>
      <c r="L9" s="11" t="n">
        <f aca="false">(I9/3+J9/4+IF($C$27=0,0,K9/$C$27))/3*100</f>
        <v>0</v>
      </c>
      <c r="M9" s="10" t="n">
        <f aca="false">IF(B9=0,$F$29,IF(B9&lt;=3,$F$30,IF(B9&lt;=6,$F$31,IF(B9&lt;=9,$F$32,$F$33))))</f>
        <v>0</v>
      </c>
      <c r="N9" s="11" t="n">
        <f aca="false">(D9+F9+H9+L9+M9)/5</f>
        <v>0</v>
      </c>
      <c r="O9" s="12" t="n">
        <f aca="false">ROUND(N9,0)</f>
        <v>0</v>
      </c>
      <c r="P9" s="11" t="n">
        <f aca="false">'2 · Cálculo 2025 · f. antigua'!O9</f>
        <v>0</v>
      </c>
      <c r="Q9" s="11" t="n">
        <f aca="false">'2 · Cálculo 2025 · f. antigua'!Q9</f>
        <v>0</v>
      </c>
      <c r="R9" s="11" t="n">
        <f aca="false">'2 · Cálculo 2025 · f. antigua'!R9</f>
        <v>0</v>
      </c>
      <c r="S9" s="12" t="n">
        <f aca="false">ROUND(R9,0)</f>
        <v>0</v>
      </c>
      <c r="T9" s="18" t="n">
        <f aca="false">ROUND((O9+S9)/2,0)</f>
        <v>0</v>
      </c>
    </row>
    <row r="10" customFormat="false" ht="15" hidden="false" customHeight="false" outlineLevel="0" collapsed="false">
      <c r="A10" s="9" t="s">
        <v>163</v>
      </c>
      <c r="B10" s="10" t="n">
        <f aca="false">COUNTIF('1 · BBDD 2025 (insumo)'!$A$2:$A$29,$A10)</f>
        <v>1</v>
      </c>
      <c r="C10" s="10" t="n">
        <f aca="false">'2 · Cálculo 2025 · f. antigua'!C10</f>
        <v>1</v>
      </c>
      <c r="D10" s="11" t="n">
        <f aca="false">C10/5*100</f>
        <v>20</v>
      </c>
      <c r="E10" s="10" t="n">
        <f aca="false">'2 · Cálculo 2025 · f. antigua'!E10</f>
        <v>1</v>
      </c>
      <c r="F10" s="11" t="n">
        <f aca="false">E10/4*100</f>
        <v>25</v>
      </c>
      <c r="G10" s="10" t="n">
        <f aca="false">_xlfn.MAXIFS('1 · BBDD 2025 (insumo)'!$AW$2:$AW$29,'1 · BBDD 2025 (insumo)'!$A$2:$A$29,$A10)</f>
        <v>2</v>
      </c>
      <c r="H10" s="11" t="n">
        <f aca="false">G10/3*100</f>
        <v>66.6666666666667</v>
      </c>
      <c r="I10" s="10" t="n">
        <f aca="false">$E$54</f>
        <v>1</v>
      </c>
      <c r="J10" s="10" t="n">
        <f aca="false">$F$78</f>
        <v>2</v>
      </c>
      <c r="K10" s="10" t="n">
        <f aca="false">SUMIFS('1 · BBDD 2025 (insumo)'!$AY$2:$AY$29,'1 · BBDD 2025 (insumo)'!$A$2:$A$29,$A10)</f>
        <v>1</v>
      </c>
      <c r="L10" s="11" t="n">
        <f aca="false">(I10/3+J10/4+IF($C$27=0,0,K10/$C$27))/3*100</f>
        <v>44.4444444444444</v>
      </c>
      <c r="M10" s="10" t="n">
        <f aca="false">IF(B10=0,$F$29,IF(B10&lt;=3,$F$30,IF(B10&lt;=6,$F$31,IF(B10&lt;=9,$F$32,$F$33))))</f>
        <v>25</v>
      </c>
      <c r="N10" s="11" t="n">
        <f aca="false">(D10+F10+H10+L10+M10)/5</f>
        <v>36.2222222222222</v>
      </c>
      <c r="O10" s="12" t="n">
        <f aca="false">ROUND(N10,0)</f>
        <v>36</v>
      </c>
      <c r="P10" s="11" t="n">
        <f aca="false">'2 · Cálculo 2025 · f. antigua'!O10</f>
        <v>16.6666666666667</v>
      </c>
      <c r="Q10" s="11" t="n">
        <f aca="false">'2 · Cálculo 2025 · f. antigua'!Q10</f>
        <v>40</v>
      </c>
      <c r="R10" s="11" t="n">
        <f aca="false">'2 · Cálculo 2025 · f. antigua'!R10</f>
        <v>28.3333333333333</v>
      </c>
      <c r="S10" s="12" t="n">
        <f aca="false">ROUND(R10,0)</f>
        <v>28</v>
      </c>
      <c r="T10" s="18" t="n">
        <f aca="false">ROUND((O10+S10)/2,0)</f>
        <v>32</v>
      </c>
    </row>
    <row r="11" customFormat="false" ht="15" hidden="false" customHeight="false" outlineLevel="0" collapsed="false">
      <c r="A11" s="9" t="s">
        <v>170</v>
      </c>
      <c r="B11" s="10" t="n">
        <f aca="false">COUNTIF('1 · BBDD 2025 (insumo)'!$A$2:$A$29,$A11)</f>
        <v>1</v>
      </c>
      <c r="C11" s="10" t="n">
        <f aca="false">'2 · Cálculo 2025 · f. antigua'!C11</f>
        <v>1</v>
      </c>
      <c r="D11" s="11" t="n">
        <f aca="false">C11/5*100</f>
        <v>20</v>
      </c>
      <c r="E11" s="10" t="n">
        <f aca="false">'2 · Cálculo 2025 · f. antigua'!E11</f>
        <v>1</v>
      </c>
      <c r="F11" s="11" t="n">
        <f aca="false">E11/4*100</f>
        <v>25</v>
      </c>
      <c r="G11" s="10" t="n">
        <f aca="false">_xlfn.MAXIFS('1 · BBDD 2025 (insumo)'!$AW$2:$AW$29,'1 · BBDD 2025 (insumo)'!$A$2:$A$29,$A11)</f>
        <v>2</v>
      </c>
      <c r="H11" s="11" t="n">
        <f aca="false">G11/3*100</f>
        <v>66.6666666666667</v>
      </c>
      <c r="I11" s="10" t="n">
        <f aca="false">$E$55</f>
        <v>1</v>
      </c>
      <c r="J11" s="10" t="n">
        <f aca="false">$F$79</f>
        <v>1</v>
      </c>
      <c r="K11" s="10" t="n">
        <f aca="false">SUMIFS('1 · BBDD 2025 (insumo)'!$AY$2:$AY$29,'1 · BBDD 2025 (insumo)'!$A$2:$A$29,$A11)</f>
        <v>1</v>
      </c>
      <c r="L11" s="11" t="n">
        <f aca="false">(I11/3+J11/4+IF($C$27=0,0,K11/$C$27))/3*100</f>
        <v>36.1111111111111</v>
      </c>
      <c r="M11" s="10" t="n">
        <f aca="false">IF(B11=0,$F$29,IF(B11&lt;=3,$F$30,IF(B11&lt;=6,$F$31,IF(B11&lt;=9,$F$32,$F$33))))</f>
        <v>25</v>
      </c>
      <c r="N11" s="11" t="n">
        <f aca="false">(D11+F11+H11+L11+M11)/5</f>
        <v>34.5555555555556</v>
      </c>
      <c r="O11" s="12" t="n">
        <f aca="false">ROUND(N11,0)</f>
        <v>35</v>
      </c>
      <c r="P11" s="11" t="n">
        <f aca="false">'2 · Cálculo 2025 · f. antigua'!O11</f>
        <v>16.6666666666667</v>
      </c>
      <c r="Q11" s="11" t="n">
        <f aca="false">'2 · Cálculo 2025 · f. antigua'!Q11</f>
        <v>20</v>
      </c>
      <c r="R11" s="11" t="n">
        <f aca="false">'2 · Cálculo 2025 · f. antigua'!R11</f>
        <v>18.3333333333333</v>
      </c>
      <c r="S11" s="12" t="n">
        <f aca="false">ROUND(R11,0)</f>
        <v>18</v>
      </c>
      <c r="T11" s="18" t="n">
        <f aca="false">ROUND((O11+S11)/2,0)</f>
        <v>27</v>
      </c>
    </row>
    <row r="12" customFormat="false" ht="15" hidden="false" customHeight="false" outlineLevel="0" collapsed="false">
      <c r="A12" s="9" t="s">
        <v>177</v>
      </c>
      <c r="B12" s="10" t="n">
        <f aca="false">COUNTIF('1 · BBDD 2025 (insumo)'!$A$2:$A$29,$A12)</f>
        <v>1</v>
      </c>
      <c r="C12" s="10" t="n">
        <f aca="false">'2 · Cálculo 2025 · f. antigua'!C12</f>
        <v>1</v>
      </c>
      <c r="D12" s="11" t="n">
        <f aca="false">C12/5*100</f>
        <v>20</v>
      </c>
      <c r="E12" s="10" t="n">
        <f aca="false">'2 · Cálculo 2025 · f. antigua'!E12</f>
        <v>1</v>
      </c>
      <c r="F12" s="11" t="n">
        <f aca="false">E12/4*100</f>
        <v>25</v>
      </c>
      <c r="G12" s="10" t="n">
        <f aca="false">_xlfn.MAXIFS('1 · BBDD 2025 (insumo)'!$AW$2:$AW$29,'1 · BBDD 2025 (insumo)'!$A$2:$A$29,$A12)</f>
        <v>2</v>
      </c>
      <c r="H12" s="11" t="n">
        <f aca="false">G12/3*100</f>
        <v>66.6666666666667</v>
      </c>
      <c r="I12" s="10" t="n">
        <f aca="false">$E$56</f>
        <v>0</v>
      </c>
      <c r="J12" s="10" t="n">
        <f aca="false">$F$80</f>
        <v>2</v>
      </c>
      <c r="K12" s="10" t="n">
        <f aca="false">SUMIFS('1 · BBDD 2025 (insumo)'!$AY$2:$AY$29,'1 · BBDD 2025 (insumo)'!$A$2:$A$29,$A12)</f>
        <v>1</v>
      </c>
      <c r="L12" s="11" t="n">
        <f aca="false">(I12/3+J12/4+IF($C$27=0,0,K12/$C$27))/3*100</f>
        <v>33.3333333333333</v>
      </c>
      <c r="M12" s="10" t="n">
        <f aca="false">IF(B12=0,$F$29,IF(B12&lt;=3,$F$30,IF(B12&lt;=6,$F$31,IF(B12&lt;=9,$F$32,$F$33))))</f>
        <v>25</v>
      </c>
      <c r="N12" s="11" t="n">
        <f aca="false">(D12+F12+H12+L12+M12)/5</f>
        <v>34</v>
      </c>
      <c r="O12" s="12" t="n">
        <f aca="false">ROUND(N12,0)</f>
        <v>34</v>
      </c>
      <c r="P12" s="11" t="n">
        <f aca="false">'2 · Cálculo 2025 · f. antigua'!O12</f>
        <v>25</v>
      </c>
      <c r="Q12" s="11" t="n">
        <f aca="false">'2 · Cálculo 2025 · f. antigua'!Q12</f>
        <v>40</v>
      </c>
      <c r="R12" s="11" t="n">
        <f aca="false">'2 · Cálculo 2025 · f. antigua'!R12</f>
        <v>32.5</v>
      </c>
      <c r="S12" s="12" t="n">
        <f aca="false">ROUND(R12,0)</f>
        <v>33</v>
      </c>
      <c r="T12" s="18" t="n">
        <f aca="false">ROUND((O12+S12)/2,0)</f>
        <v>34</v>
      </c>
    </row>
    <row r="13" customFormat="false" ht="15" hidden="false" customHeight="false" outlineLevel="0" collapsed="false">
      <c r="A13" s="9" t="s">
        <v>183</v>
      </c>
      <c r="B13" s="10" t="n">
        <f aca="false">COUNTIF('1 · BBDD 2025 (insumo)'!$A$2:$A$29,$A13)</f>
        <v>1</v>
      </c>
      <c r="C13" s="10" t="n">
        <f aca="false">'2 · Cálculo 2025 · f. antigua'!C13</f>
        <v>1</v>
      </c>
      <c r="D13" s="11" t="n">
        <f aca="false">C13/5*100</f>
        <v>20</v>
      </c>
      <c r="E13" s="10" t="n">
        <f aca="false">'2 · Cálculo 2025 · f. antigua'!E13</f>
        <v>1</v>
      </c>
      <c r="F13" s="11" t="n">
        <f aca="false">E13/4*100</f>
        <v>25</v>
      </c>
      <c r="G13" s="10" t="n">
        <f aca="false">_xlfn.MAXIFS('1 · BBDD 2025 (insumo)'!$AW$2:$AW$29,'1 · BBDD 2025 (insumo)'!$A$2:$A$29,$A13)</f>
        <v>2</v>
      </c>
      <c r="H13" s="11" t="n">
        <f aca="false">G13/3*100</f>
        <v>66.6666666666667</v>
      </c>
      <c r="I13" s="10" t="n">
        <f aca="false">$E$57</f>
        <v>0</v>
      </c>
      <c r="J13" s="10" t="n">
        <f aca="false">$F$81</f>
        <v>2</v>
      </c>
      <c r="K13" s="10" t="n">
        <f aca="false">SUMIFS('1 · BBDD 2025 (insumo)'!$AY$2:$AY$29,'1 · BBDD 2025 (insumo)'!$A$2:$A$29,$A13)</f>
        <v>1</v>
      </c>
      <c r="L13" s="11" t="n">
        <f aca="false">(I13/3+J13/4+IF($C$27=0,0,K13/$C$27))/3*100</f>
        <v>33.3333333333333</v>
      </c>
      <c r="M13" s="10" t="n">
        <f aca="false">IF(B13=0,$F$29,IF(B13&lt;=3,$F$30,IF(B13&lt;=6,$F$31,IF(B13&lt;=9,$F$32,$F$33))))</f>
        <v>25</v>
      </c>
      <c r="N13" s="11" t="n">
        <f aca="false">(D13+F13+H13+L13+M13)/5</f>
        <v>34</v>
      </c>
      <c r="O13" s="12" t="n">
        <f aca="false">ROUND(N13,0)</f>
        <v>34</v>
      </c>
      <c r="P13" s="11" t="n">
        <f aca="false">'2 · Cálculo 2025 · f. antigua'!O13</f>
        <v>83.3333333333333</v>
      </c>
      <c r="Q13" s="11" t="n">
        <f aca="false">'2 · Cálculo 2025 · f. antigua'!Q13</f>
        <v>20</v>
      </c>
      <c r="R13" s="11" t="n">
        <f aca="false">'2 · Cálculo 2025 · f. antigua'!R13</f>
        <v>51.6666666666667</v>
      </c>
      <c r="S13" s="12" t="n">
        <f aca="false">ROUND(R13,0)</f>
        <v>52</v>
      </c>
      <c r="T13" s="18" t="n">
        <f aca="false">ROUND((O13+S13)/2,0)</f>
        <v>43</v>
      </c>
    </row>
    <row r="14" customFormat="false" ht="15" hidden="false" customHeight="false" outlineLevel="0" collapsed="false">
      <c r="A14" s="9" t="s">
        <v>242</v>
      </c>
      <c r="B14" s="10" t="n">
        <f aca="false">COUNTIF('1 · BBDD 2025 (insumo)'!$A$2:$A$29,$A14)</f>
        <v>0</v>
      </c>
      <c r="C14" s="10" t="n">
        <f aca="false">'2 · Cálculo 2025 · f. antigua'!C14</f>
        <v>0</v>
      </c>
      <c r="D14" s="11" t="n">
        <f aca="false">C14/5*100</f>
        <v>0</v>
      </c>
      <c r="E14" s="10" t="n">
        <f aca="false">'2 · Cálculo 2025 · f. antigua'!E14</f>
        <v>0</v>
      </c>
      <c r="F14" s="11" t="n">
        <f aca="false">E14/4*100</f>
        <v>0</v>
      </c>
      <c r="G14" s="10" t="n">
        <f aca="false">_xlfn.MAXIFS('1 · BBDD 2025 (insumo)'!$AW$2:$AW$29,'1 · BBDD 2025 (insumo)'!$A$2:$A$29,$A14)</f>
        <v>0</v>
      </c>
      <c r="H14" s="11" t="n">
        <f aca="false">G14/3*100</f>
        <v>0</v>
      </c>
      <c r="I14" s="10" t="n">
        <f aca="false">$E$58</f>
        <v>0</v>
      </c>
      <c r="J14" s="10" t="n">
        <f aca="false">$F$82</f>
        <v>0</v>
      </c>
      <c r="K14" s="10" t="n">
        <f aca="false">SUMIFS('1 · BBDD 2025 (insumo)'!$AY$2:$AY$29,'1 · BBDD 2025 (insumo)'!$A$2:$A$29,$A14)</f>
        <v>0</v>
      </c>
      <c r="L14" s="11" t="n">
        <f aca="false">(I14/3+J14/4+IF($C$27=0,0,K14/$C$27))/3*100</f>
        <v>0</v>
      </c>
      <c r="M14" s="10" t="n">
        <f aca="false">IF(B14=0,$F$29,IF(B14&lt;=3,$F$30,IF(B14&lt;=6,$F$31,IF(B14&lt;=9,$F$32,$F$33))))</f>
        <v>0</v>
      </c>
      <c r="N14" s="11" t="n">
        <f aca="false">(D14+F14+H14+L14+M14)/5</f>
        <v>0</v>
      </c>
      <c r="O14" s="12" t="n">
        <f aca="false">ROUND(N14,0)</f>
        <v>0</v>
      </c>
      <c r="P14" s="11" t="n">
        <f aca="false">'2 · Cálculo 2025 · f. antigua'!O14</f>
        <v>0</v>
      </c>
      <c r="Q14" s="11" t="n">
        <f aca="false">'2 · Cálculo 2025 · f. antigua'!Q14</f>
        <v>0</v>
      </c>
      <c r="R14" s="11" t="n">
        <f aca="false">'2 · Cálculo 2025 · f. antigua'!R14</f>
        <v>0</v>
      </c>
      <c r="S14" s="12" t="n">
        <f aca="false">ROUND(R14,0)</f>
        <v>0</v>
      </c>
      <c r="T14" s="18" t="n">
        <f aca="false">ROUND((O14+S14)/2,0)</f>
        <v>0</v>
      </c>
    </row>
    <row r="15" customFormat="false" ht="15" hidden="false" customHeight="false" outlineLevel="0" collapsed="false">
      <c r="A15" s="9" t="s">
        <v>190</v>
      </c>
      <c r="B15" s="10" t="n">
        <f aca="false">COUNTIF('1 · BBDD 2025 (insumo)'!$A$2:$A$29,$A15)</f>
        <v>2</v>
      </c>
      <c r="C15" s="10" t="n">
        <f aca="false">'2 · Cálculo 2025 · f. antigua'!C15</f>
        <v>2</v>
      </c>
      <c r="D15" s="11" t="n">
        <f aca="false">C15/5*100</f>
        <v>40</v>
      </c>
      <c r="E15" s="10" t="n">
        <f aca="false">'2 · Cálculo 2025 · f. antigua'!E15</f>
        <v>1</v>
      </c>
      <c r="F15" s="11" t="n">
        <f aca="false">E15/4*100</f>
        <v>25</v>
      </c>
      <c r="G15" s="10" t="n">
        <f aca="false">_xlfn.MAXIFS('1 · BBDD 2025 (insumo)'!$AW$2:$AW$29,'1 · BBDD 2025 (insumo)'!$A$2:$A$29,$A15)</f>
        <v>2</v>
      </c>
      <c r="H15" s="11" t="n">
        <f aca="false">G15/3*100</f>
        <v>66.6666666666667</v>
      </c>
      <c r="I15" s="10" t="n">
        <f aca="false">$E$59</f>
        <v>1</v>
      </c>
      <c r="J15" s="10" t="n">
        <f aca="false">$F$83</f>
        <v>1</v>
      </c>
      <c r="K15" s="10" t="n">
        <f aca="false">SUMIFS('1 · BBDD 2025 (insumo)'!$AY$2:$AY$29,'1 · BBDD 2025 (insumo)'!$A$2:$A$29,$A15)</f>
        <v>0</v>
      </c>
      <c r="L15" s="11" t="n">
        <f aca="false">(I15/3+J15/4+IF($C$27=0,0,K15/$C$27))/3*100</f>
        <v>19.4444444444444</v>
      </c>
      <c r="M15" s="10" t="n">
        <f aca="false">IF(B15=0,$F$29,IF(B15&lt;=3,$F$30,IF(B15&lt;=6,$F$31,IF(B15&lt;=9,$F$32,$F$33))))</f>
        <v>25</v>
      </c>
      <c r="N15" s="11" t="n">
        <f aca="false">(D15+F15+H15+L15+M15)/5</f>
        <v>35.2222222222222</v>
      </c>
      <c r="O15" s="12" t="n">
        <f aca="false">ROUND(N15,0)</f>
        <v>35</v>
      </c>
      <c r="P15" s="11" t="n">
        <f aca="false">'2 · Cálculo 2025 · f. antigua'!O15</f>
        <v>33.3333333333333</v>
      </c>
      <c r="Q15" s="11" t="n">
        <f aca="false">'2 · Cálculo 2025 · f. antigua'!Q15</f>
        <v>40</v>
      </c>
      <c r="R15" s="11" t="n">
        <f aca="false">'2 · Cálculo 2025 · f. antigua'!R15</f>
        <v>36.6666666666667</v>
      </c>
      <c r="S15" s="12" t="n">
        <f aca="false">ROUND(R15,0)</f>
        <v>37</v>
      </c>
      <c r="T15" s="18" t="n">
        <f aca="false">ROUND((O15+S15)/2,0)</f>
        <v>36</v>
      </c>
    </row>
    <row r="16" customFormat="false" ht="15" hidden="false" customHeight="false" outlineLevel="0" collapsed="false">
      <c r="A16" s="9" t="s">
        <v>243</v>
      </c>
      <c r="B16" s="10" t="n">
        <f aca="false">COUNTIF('1 · BBDD 2025 (insumo)'!$A$2:$A$29,$A16)</f>
        <v>0</v>
      </c>
      <c r="C16" s="10" t="n">
        <f aca="false">'2 · Cálculo 2025 · f. antigua'!C16</f>
        <v>0</v>
      </c>
      <c r="D16" s="11" t="n">
        <f aca="false">C16/5*100</f>
        <v>0</v>
      </c>
      <c r="E16" s="10" t="n">
        <f aca="false">'2 · Cálculo 2025 · f. antigua'!E16</f>
        <v>0</v>
      </c>
      <c r="F16" s="11" t="n">
        <f aca="false">E16/4*100</f>
        <v>0</v>
      </c>
      <c r="G16" s="10" t="n">
        <f aca="false">_xlfn.MAXIFS('1 · BBDD 2025 (insumo)'!$AW$2:$AW$29,'1 · BBDD 2025 (insumo)'!$A$2:$A$29,$A16)</f>
        <v>0</v>
      </c>
      <c r="H16" s="11" t="n">
        <f aca="false">G16/3*100</f>
        <v>0</v>
      </c>
      <c r="I16" s="10" t="n">
        <f aca="false">$E$60</f>
        <v>0</v>
      </c>
      <c r="J16" s="10" t="n">
        <f aca="false">$F$84</f>
        <v>0</v>
      </c>
      <c r="K16" s="10" t="n">
        <f aca="false">SUMIFS('1 · BBDD 2025 (insumo)'!$AY$2:$AY$29,'1 · BBDD 2025 (insumo)'!$A$2:$A$29,$A16)</f>
        <v>0</v>
      </c>
      <c r="L16" s="11" t="n">
        <f aca="false">(I16/3+J16/4+IF($C$27=0,0,K16/$C$27))/3*100</f>
        <v>0</v>
      </c>
      <c r="M16" s="10" t="n">
        <f aca="false">IF(B16=0,$F$29,IF(B16&lt;=3,$F$30,IF(B16&lt;=6,$F$31,IF(B16&lt;=9,$F$32,$F$33))))</f>
        <v>0</v>
      </c>
      <c r="N16" s="11" t="n">
        <f aca="false">(D16+F16+H16+L16+M16)/5</f>
        <v>0</v>
      </c>
      <c r="O16" s="12" t="n">
        <f aca="false">ROUND(N16,0)</f>
        <v>0</v>
      </c>
      <c r="P16" s="11" t="n">
        <f aca="false">'2 · Cálculo 2025 · f. antigua'!O16</f>
        <v>0</v>
      </c>
      <c r="Q16" s="11" t="n">
        <f aca="false">'2 · Cálculo 2025 · f. antigua'!Q16</f>
        <v>0</v>
      </c>
      <c r="R16" s="11" t="n">
        <f aca="false">'2 · Cálculo 2025 · f. antigua'!R16</f>
        <v>0</v>
      </c>
      <c r="S16" s="12" t="n">
        <f aca="false">ROUND(R16,0)</f>
        <v>0</v>
      </c>
      <c r="T16" s="18" t="n">
        <f aca="false">ROUND((O16+S16)/2,0)</f>
        <v>0</v>
      </c>
    </row>
    <row r="17" customFormat="false" ht="15" hidden="false" customHeight="false" outlineLevel="0" collapsed="false">
      <c r="A17" s="9" t="s">
        <v>200</v>
      </c>
      <c r="B17" s="10" t="n">
        <f aca="false">COUNTIF('1 · BBDD 2025 (insumo)'!$A$2:$A$29,$A17)</f>
        <v>2</v>
      </c>
      <c r="C17" s="10" t="n">
        <f aca="false">'2 · Cálculo 2025 · f. antigua'!C17</f>
        <v>2</v>
      </c>
      <c r="D17" s="11" t="n">
        <f aca="false">C17/5*100</f>
        <v>40</v>
      </c>
      <c r="E17" s="10" t="n">
        <f aca="false">'2 · Cálculo 2025 · f. antigua'!E17</f>
        <v>2</v>
      </c>
      <c r="F17" s="11" t="n">
        <f aca="false">E17/4*100</f>
        <v>50</v>
      </c>
      <c r="G17" s="10" t="n">
        <f aca="false">_xlfn.MAXIFS('1 · BBDD 2025 (insumo)'!$AW$2:$AW$29,'1 · BBDD 2025 (insumo)'!$A$2:$A$29,$A17)</f>
        <v>2</v>
      </c>
      <c r="H17" s="11" t="n">
        <f aca="false">G17/3*100</f>
        <v>66.6666666666667</v>
      </c>
      <c r="I17" s="10" t="n">
        <f aca="false">$E$61</f>
        <v>2</v>
      </c>
      <c r="J17" s="10" t="n">
        <f aca="false">$F$85</f>
        <v>0</v>
      </c>
      <c r="K17" s="10" t="n">
        <f aca="false">SUMIFS('1 · BBDD 2025 (insumo)'!$AY$2:$AY$29,'1 · BBDD 2025 (insumo)'!$A$2:$A$29,$A17)</f>
        <v>0</v>
      </c>
      <c r="L17" s="11" t="n">
        <f aca="false">(I17/3+J17/4+IF($C$27=0,0,K17/$C$27))/3*100</f>
        <v>22.2222222222222</v>
      </c>
      <c r="M17" s="10" t="n">
        <f aca="false">IF(B17=0,$F$29,IF(B17&lt;=3,$F$30,IF(B17&lt;=6,$F$31,IF(B17&lt;=9,$F$32,$F$33))))</f>
        <v>25</v>
      </c>
      <c r="N17" s="11" t="n">
        <f aca="false">(D17+F17+H17+L17+M17)/5</f>
        <v>40.7777777777778</v>
      </c>
      <c r="O17" s="12" t="n">
        <f aca="false">ROUND(N17,0)</f>
        <v>41</v>
      </c>
      <c r="P17" s="11" t="n">
        <f aca="false">'2 · Cálculo 2025 · f. antigua'!O17</f>
        <v>41.6666666666667</v>
      </c>
      <c r="Q17" s="11" t="n">
        <f aca="false">'2 · Cálculo 2025 · f. antigua'!Q17</f>
        <v>60</v>
      </c>
      <c r="R17" s="11" t="n">
        <f aca="false">'2 · Cálculo 2025 · f. antigua'!R17</f>
        <v>50.8333333333333</v>
      </c>
      <c r="S17" s="12" t="n">
        <f aca="false">ROUND(R17,0)</f>
        <v>51</v>
      </c>
      <c r="T17" s="18" t="n">
        <f aca="false">ROUND((O17+S17)/2,0)</f>
        <v>46</v>
      </c>
    </row>
    <row r="18" customFormat="false" ht="15" hidden="false" customHeight="false" outlineLevel="0" collapsed="false">
      <c r="A18" s="9" t="s">
        <v>244</v>
      </c>
      <c r="B18" s="10" t="n">
        <f aca="false">COUNTIF('1 · BBDD 2025 (insumo)'!$A$2:$A$29,$A18)</f>
        <v>0</v>
      </c>
      <c r="C18" s="10" t="n">
        <f aca="false">'2 · Cálculo 2025 · f. antigua'!C18</f>
        <v>0</v>
      </c>
      <c r="D18" s="11" t="n">
        <f aca="false">C18/5*100</f>
        <v>0</v>
      </c>
      <c r="E18" s="10" t="n">
        <f aca="false">'2 · Cálculo 2025 · f. antigua'!E18</f>
        <v>0</v>
      </c>
      <c r="F18" s="11" t="n">
        <f aca="false">E18/4*100</f>
        <v>0</v>
      </c>
      <c r="G18" s="10" t="n">
        <f aca="false">_xlfn.MAXIFS('1 · BBDD 2025 (insumo)'!$AW$2:$AW$29,'1 · BBDD 2025 (insumo)'!$A$2:$A$29,$A18)</f>
        <v>0</v>
      </c>
      <c r="H18" s="11" t="n">
        <f aca="false">G18/3*100</f>
        <v>0</v>
      </c>
      <c r="I18" s="10" t="n">
        <f aca="false">$E$62</f>
        <v>0</v>
      </c>
      <c r="J18" s="10" t="n">
        <f aca="false">$F$86</f>
        <v>0</v>
      </c>
      <c r="K18" s="10" t="n">
        <f aca="false">SUMIFS('1 · BBDD 2025 (insumo)'!$AY$2:$AY$29,'1 · BBDD 2025 (insumo)'!$A$2:$A$29,$A18)</f>
        <v>0</v>
      </c>
      <c r="L18" s="11" t="n">
        <f aca="false">(I18/3+J18/4+IF($C$27=0,0,K18/$C$27))/3*100</f>
        <v>0</v>
      </c>
      <c r="M18" s="10" t="n">
        <f aca="false">IF(B18=0,$F$29,IF(B18&lt;=3,$F$30,IF(B18&lt;=6,$F$31,IF(B18&lt;=9,$F$32,$F$33))))</f>
        <v>0</v>
      </c>
      <c r="N18" s="11" t="n">
        <f aca="false">(D18+F18+H18+L18+M18)/5</f>
        <v>0</v>
      </c>
      <c r="O18" s="12" t="n">
        <f aca="false">ROUND(N18,0)</f>
        <v>0</v>
      </c>
      <c r="P18" s="11" t="n">
        <f aca="false">'2 · Cálculo 2025 · f. antigua'!O18</f>
        <v>0</v>
      </c>
      <c r="Q18" s="11" t="n">
        <f aca="false">'2 · Cálculo 2025 · f. antigua'!Q18</f>
        <v>0</v>
      </c>
      <c r="R18" s="11" t="n">
        <f aca="false">'2 · Cálculo 2025 · f. antigua'!R18</f>
        <v>0</v>
      </c>
      <c r="S18" s="12" t="n">
        <f aca="false">ROUND(R18,0)</f>
        <v>0</v>
      </c>
      <c r="T18" s="18" t="n">
        <f aca="false">ROUND((O18+S18)/2,0)</f>
        <v>0</v>
      </c>
    </row>
    <row r="19" customFormat="false" ht="15" hidden="false" customHeight="false" outlineLevel="0" collapsed="false">
      <c r="A19" s="9" t="s">
        <v>245</v>
      </c>
      <c r="B19" s="10" t="n">
        <f aca="false">COUNTIF('1 · BBDD 2025 (insumo)'!$A$2:$A$29,$A19)</f>
        <v>0</v>
      </c>
      <c r="C19" s="10" t="n">
        <f aca="false">'2 · Cálculo 2025 · f. antigua'!C19</f>
        <v>0</v>
      </c>
      <c r="D19" s="11" t="n">
        <f aca="false">C19/5*100</f>
        <v>0</v>
      </c>
      <c r="E19" s="10" t="n">
        <f aca="false">'2 · Cálculo 2025 · f. antigua'!E19</f>
        <v>0</v>
      </c>
      <c r="F19" s="11" t="n">
        <f aca="false">E19/4*100</f>
        <v>0</v>
      </c>
      <c r="G19" s="10" t="n">
        <f aca="false">_xlfn.MAXIFS('1 · BBDD 2025 (insumo)'!$AW$2:$AW$29,'1 · BBDD 2025 (insumo)'!$A$2:$A$29,$A19)</f>
        <v>0</v>
      </c>
      <c r="H19" s="11" t="n">
        <f aca="false">G19/3*100</f>
        <v>0</v>
      </c>
      <c r="I19" s="10" t="n">
        <f aca="false">$E$63</f>
        <v>0</v>
      </c>
      <c r="J19" s="10" t="n">
        <f aca="false">$F$87</f>
        <v>0</v>
      </c>
      <c r="K19" s="10" t="n">
        <f aca="false">SUMIFS('1 · BBDD 2025 (insumo)'!$AY$2:$AY$29,'1 · BBDD 2025 (insumo)'!$A$2:$A$29,$A19)</f>
        <v>0</v>
      </c>
      <c r="L19" s="11" t="n">
        <f aca="false">(I19/3+J19/4+IF($C$27=0,0,K19/$C$27))/3*100</f>
        <v>0</v>
      </c>
      <c r="M19" s="10" t="n">
        <f aca="false">IF(B19=0,$F$29,IF(B19&lt;=3,$F$30,IF(B19&lt;=6,$F$31,IF(B19&lt;=9,$F$32,$F$33))))</f>
        <v>0</v>
      </c>
      <c r="N19" s="11" t="n">
        <f aca="false">(D19+F19+H19+L19+M19)/5</f>
        <v>0</v>
      </c>
      <c r="O19" s="12" t="n">
        <f aca="false">ROUND(N19,0)</f>
        <v>0</v>
      </c>
      <c r="P19" s="11" t="n">
        <f aca="false">'2 · Cálculo 2025 · f. antigua'!O19</f>
        <v>0</v>
      </c>
      <c r="Q19" s="11" t="n">
        <f aca="false">'2 · Cálculo 2025 · f. antigua'!Q19</f>
        <v>0</v>
      </c>
      <c r="R19" s="11" t="n">
        <f aca="false">'2 · Cálculo 2025 · f. antigua'!R19</f>
        <v>0</v>
      </c>
      <c r="S19" s="12" t="n">
        <f aca="false">ROUND(R19,0)</f>
        <v>0</v>
      </c>
      <c r="T19" s="18" t="n">
        <f aca="false">ROUND((O19+S19)/2,0)</f>
        <v>0</v>
      </c>
    </row>
    <row r="20" customFormat="false" ht="15" hidden="false" customHeight="false" outlineLevel="0" collapsed="false">
      <c r="A20" s="9" t="s">
        <v>246</v>
      </c>
      <c r="B20" s="10" t="n">
        <f aca="false">COUNTIF('1 · BBDD 2025 (insumo)'!$A$2:$A$29,$A20)</f>
        <v>0</v>
      </c>
      <c r="C20" s="10" t="n">
        <f aca="false">'2 · Cálculo 2025 · f. antigua'!C20</f>
        <v>0</v>
      </c>
      <c r="D20" s="11" t="n">
        <f aca="false">C20/5*100</f>
        <v>0</v>
      </c>
      <c r="E20" s="10" t="n">
        <f aca="false">'2 · Cálculo 2025 · f. antigua'!E20</f>
        <v>0</v>
      </c>
      <c r="F20" s="11" t="n">
        <f aca="false">E20/4*100</f>
        <v>0</v>
      </c>
      <c r="G20" s="10" t="n">
        <f aca="false">_xlfn.MAXIFS('1 · BBDD 2025 (insumo)'!$AW$2:$AW$29,'1 · BBDD 2025 (insumo)'!$A$2:$A$29,$A20)</f>
        <v>0</v>
      </c>
      <c r="H20" s="11" t="n">
        <f aca="false">G20/3*100</f>
        <v>0</v>
      </c>
      <c r="I20" s="10" t="n">
        <f aca="false">$E$64</f>
        <v>0</v>
      </c>
      <c r="J20" s="10" t="n">
        <f aca="false">$F$88</f>
        <v>0</v>
      </c>
      <c r="K20" s="10" t="n">
        <f aca="false">SUMIFS('1 · BBDD 2025 (insumo)'!$AY$2:$AY$29,'1 · BBDD 2025 (insumo)'!$A$2:$A$29,$A20)</f>
        <v>0</v>
      </c>
      <c r="L20" s="11" t="n">
        <f aca="false">(I20/3+J20/4+IF($C$27=0,0,K20/$C$27))/3*100</f>
        <v>0</v>
      </c>
      <c r="M20" s="10" t="n">
        <f aca="false">IF(B20=0,$F$29,IF(B20&lt;=3,$F$30,IF(B20&lt;=6,$F$31,IF(B20&lt;=9,$F$32,$F$33))))</f>
        <v>0</v>
      </c>
      <c r="N20" s="11" t="n">
        <f aca="false">(D20+F20+H20+L20+M20)/5</f>
        <v>0</v>
      </c>
      <c r="O20" s="12" t="n">
        <f aca="false">ROUND(N20,0)</f>
        <v>0</v>
      </c>
      <c r="P20" s="11" t="n">
        <f aca="false">'2 · Cálculo 2025 · f. antigua'!O20</f>
        <v>0</v>
      </c>
      <c r="Q20" s="11" t="n">
        <f aca="false">'2 · Cálculo 2025 · f. antigua'!Q20</f>
        <v>0</v>
      </c>
      <c r="R20" s="11" t="n">
        <f aca="false">'2 · Cálculo 2025 · f. antigua'!R20</f>
        <v>0</v>
      </c>
      <c r="S20" s="12" t="n">
        <f aca="false">ROUND(R20,0)</f>
        <v>0</v>
      </c>
      <c r="T20" s="18" t="n">
        <f aca="false">ROUND((O20+S20)/2,0)</f>
        <v>0</v>
      </c>
    </row>
    <row r="21" customFormat="false" ht="15" hidden="false" customHeight="false" outlineLevel="0" collapsed="false">
      <c r="A21" s="9" t="s">
        <v>248</v>
      </c>
      <c r="B21" s="10" t="n">
        <f aca="false">COUNTIF('1 · BBDD 2025 (insumo)'!$A$2:$A$29,$A21)</f>
        <v>0</v>
      </c>
      <c r="C21" s="10" t="n">
        <f aca="false">'2 · Cálculo 2025 · f. antigua'!C21</f>
        <v>0</v>
      </c>
      <c r="D21" s="11" t="n">
        <f aca="false">C21/5*100</f>
        <v>0</v>
      </c>
      <c r="E21" s="10" t="n">
        <f aca="false">'2 · Cálculo 2025 · f. antigua'!E21</f>
        <v>0</v>
      </c>
      <c r="F21" s="11" t="n">
        <f aca="false">E21/4*100</f>
        <v>0</v>
      </c>
      <c r="G21" s="10" t="n">
        <f aca="false">_xlfn.MAXIFS('1 · BBDD 2025 (insumo)'!$AW$2:$AW$29,'1 · BBDD 2025 (insumo)'!$A$2:$A$29,$A21)</f>
        <v>0</v>
      </c>
      <c r="H21" s="11" t="n">
        <f aca="false">G21/3*100</f>
        <v>0</v>
      </c>
      <c r="I21" s="10" t="n">
        <f aca="false">$E$65</f>
        <v>0</v>
      </c>
      <c r="J21" s="10" t="n">
        <f aca="false">$F$89</f>
        <v>0</v>
      </c>
      <c r="K21" s="10" t="n">
        <f aca="false">SUMIFS('1 · BBDD 2025 (insumo)'!$AY$2:$AY$29,'1 · BBDD 2025 (insumo)'!$A$2:$A$29,$A21)</f>
        <v>0</v>
      </c>
      <c r="L21" s="11" t="n">
        <f aca="false">(I21/3+J21/4+IF($C$27=0,0,K21/$C$27))/3*100</f>
        <v>0</v>
      </c>
      <c r="M21" s="10" t="n">
        <f aca="false">IF(B21=0,$F$29,IF(B21&lt;=3,$F$30,IF(B21&lt;=6,$F$31,IF(B21&lt;=9,$F$32,$F$33))))</f>
        <v>0</v>
      </c>
      <c r="N21" s="11" t="n">
        <f aca="false">(D21+F21+H21+L21+M21)/5</f>
        <v>0</v>
      </c>
      <c r="O21" s="12" t="n">
        <f aca="false">ROUND(N21,0)</f>
        <v>0</v>
      </c>
      <c r="P21" s="11" t="n">
        <f aca="false">'2 · Cálculo 2025 · f. antigua'!O21</f>
        <v>0</v>
      </c>
      <c r="Q21" s="11" t="n">
        <f aca="false">'2 · Cálculo 2025 · f. antigua'!Q21</f>
        <v>0</v>
      </c>
      <c r="R21" s="11" t="n">
        <f aca="false">'2 · Cálculo 2025 · f. antigua'!R21</f>
        <v>0</v>
      </c>
      <c r="S21" s="12" t="n">
        <f aca="false">ROUND(R21,0)</f>
        <v>0</v>
      </c>
      <c r="T21" s="18" t="n">
        <f aca="false">ROUND((O21+S21)/2,0)</f>
        <v>0</v>
      </c>
    </row>
    <row r="22" customFormat="false" ht="15" hidden="false" customHeight="false" outlineLevel="0" collapsed="false">
      <c r="A22" s="9" t="s">
        <v>249</v>
      </c>
      <c r="B22" s="10" t="n">
        <f aca="false">COUNTIF('1 · BBDD 2025 (insumo)'!$A$2:$A$29,$A22)</f>
        <v>0</v>
      </c>
      <c r="C22" s="10" t="n">
        <f aca="false">'2 · Cálculo 2025 · f. antigua'!C22</f>
        <v>0</v>
      </c>
      <c r="D22" s="11" t="n">
        <f aca="false">C22/5*100</f>
        <v>0</v>
      </c>
      <c r="E22" s="10" t="n">
        <f aca="false">'2 · Cálculo 2025 · f. antigua'!E22</f>
        <v>0</v>
      </c>
      <c r="F22" s="11" t="n">
        <f aca="false">E22/4*100</f>
        <v>0</v>
      </c>
      <c r="G22" s="10" t="n">
        <f aca="false">_xlfn.MAXIFS('1 · BBDD 2025 (insumo)'!$AW$2:$AW$29,'1 · BBDD 2025 (insumo)'!$A$2:$A$29,$A22)</f>
        <v>0</v>
      </c>
      <c r="H22" s="11" t="n">
        <f aca="false">G22/3*100</f>
        <v>0</v>
      </c>
      <c r="I22" s="10" t="n">
        <f aca="false">$E$66</f>
        <v>0</v>
      </c>
      <c r="J22" s="10" t="n">
        <f aca="false">$F$90</f>
        <v>0</v>
      </c>
      <c r="K22" s="10" t="n">
        <f aca="false">SUMIFS('1 · BBDD 2025 (insumo)'!$AY$2:$AY$29,'1 · BBDD 2025 (insumo)'!$A$2:$A$29,$A22)</f>
        <v>0</v>
      </c>
      <c r="L22" s="11" t="n">
        <f aca="false">(I22/3+J22/4+IF($C$27=0,0,K22/$C$27))/3*100</f>
        <v>0</v>
      </c>
      <c r="M22" s="10" t="n">
        <f aca="false">IF(B22=0,$F$29,IF(B22&lt;=3,$F$30,IF(B22&lt;=6,$F$31,IF(B22&lt;=9,$F$32,$F$33))))</f>
        <v>0</v>
      </c>
      <c r="N22" s="11" t="n">
        <f aca="false">(D22+F22+H22+L22+M22)/5</f>
        <v>0</v>
      </c>
      <c r="O22" s="12" t="n">
        <f aca="false">ROUND(N22,0)</f>
        <v>0</v>
      </c>
      <c r="P22" s="11" t="n">
        <f aca="false">'2 · Cálculo 2025 · f. antigua'!O22</f>
        <v>0</v>
      </c>
      <c r="Q22" s="11" t="n">
        <f aca="false">'2 · Cálculo 2025 · f. antigua'!Q22</f>
        <v>0</v>
      </c>
      <c r="R22" s="11" t="n">
        <f aca="false">'2 · Cálculo 2025 · f. antigua'!R22</f>
        <v>0</v>
      </c>
      <c r="S22" s="12" t="n">
        <f aca="false">ROUND(R22,0)</f>
        <v>0</v>
      </c>
      <c r="T22" s="18" t="n">
        <f aca="false">ROUND((O22+S22)/2,0)</f>
        <v>0</v>
      </c>
    </row>
    <row r="24" customFormat="false" ht="15" hidden="false" customHeight="false" outlineLevel="0" collapsed="false">
      <c r="A24" s="8" t="s">
        <v>307</v>
      </c>
    </row>
    <row r="25" customFormat="false" ht="15" hidden="false" customHeight="false" outlineLevel="0" collapsed="false">
      <c r="A25" s="15" t="s">
        <v>308</v>
      </c>
      <c r="C25" s="19" t="n">
        <v>2026</v>
      </c>
    </row>
    <row r="26" customFormat="false" ht="15" hidden="false" customHeight="false" outlineLevel="0" collapsed="false">
      <c r="A26" s="15" t="s">
        <v>309</v>
      </c>
      <c r="C26" s="19" t="n">
        <v>2</v>
      </c>
    </row>
    <row r="27" customFormat="false" ht="15" hidden="false" customHeight="false" outlineLevel="0" collapsed="false">
      <c r="A27" s="15" t="s">
        <v>310</v>
      </c>
      <c r="C27" s="16" t="n">
        <f aca="false">MAX(K3:K22)</f>
        <v>2</v>
      </c>
    </row>
    <row r="28" customFormat="false" ht="15" hidden="false" customHeight="false" outlineLevel="0" collapsed="false">
      <c r="A28" s="8" t="s">
        <v>311</v>
      </c>
    </row>
    <row r="29" customFormat="false" ht="15" hidden="false" customHeight="false" outlineLevel="0" collapsed="false">
      <c r="E29" s="15" t="s">
        <v>312</v>
      </c>
      <c r="F29" s="20" t="n">
        <v>0</v>
      </c>
    </row>
    <row r="30" customFormat="false" ht="15" hidden="false" customHeight="false" outlineLevel="0" collapsed="false">
      <c r="E30" s="15" t="s">
        <v>313</v>
      </c>
      <c r="F30" s="20" t="n">
        <v>25</v>
      </c>
    </row>
    <row r="31" customFormat="false" ht="15" hidden="false" customHeight="false" outlineLevel="0" collapsed="false">
      <c r="E31" s="15" t="s">
        <v>314</v>
      </c>
      <c r="F31" s="20" t="n">
        <v>50</v>
      </c>
    </row>
    <row r="32" customFormat="false" ht="15" hidden="false" customHeight="false" outlineLevel="0" collapsed="false">
      <c r="E32" s="15" t="s">
        <v>315</v>
      </c>
      <c r="F32" s="20" t="n">
        <v>75</v>
      </c>
    </row>
    <row r="33" customFormat="false" ht="15" hidden="false" customHeight="false" outlineLevel="0" collapsed="false">
      <c r="E33" s="15" t="s">
        <v>316</v>
      </c>
      <c r="F33" s="20" t="n">
        <v>100</v>
      </c>
    </row>
    <row r="35" customFormat="false" ht="15" hidden="false" customHeight="false" outlineLevel="0" collapsed="false">
      <c r="A35" s="7" t="s">
        <v>317</v>
      </c>
      <c r="B35" s="7"/>
      <c r="C35" s="7"/>
      <c r="D35" s="7"/>
      <c r="E35" s="7"/>
      <c r="F35" s="7"/>
      <c r="G35" s="7"/>
      <c r="H35" s="7"/>
      <c r="I35" s="7"/>
      <c r="J35" s="7"/>
      <c r="K35" s="7"/>
      <c r="L35" s="7"/>
      <c r="M35" s="7"/>
      <c r="N35" s="7"/>
    </row>
    <row r="36" customFormat="false" ht="15" hidden="false" customHeight="false" outlineLevel="0" collapsed="false">
      <c r="A36" s="7" t="s">
        <v>318</v>
      </c>
      <c r="B36" s="7"/>
      <c r="C36" s="7"/>
      <c r="D36" s="7"/>
      <c r="E36" s="7"/>
      <c r="F36" s="7"/>
      <c r="G36" s="7"/>
      <c r="H36" s="7"/>
      <c r="I36" s="7"/>
      <c r="J36" s="7"/>
      <c r="K36" s="7"/>
      <c r="L36" s="7"/>
      <c r="M36" s="7"/>
      <c r="N36" s="7"/>
    </row>
    <row r="45" customFormat="false" ht="15" hidden="false" customHeight="false" outlineLevel="0" collapsed="false">
      <c r="A45" s="8" t="s">
        <v>319</v>
      </c>
    </row>
    <row r="46" customFormat="false" ht="32.8" hidden="false" customHeight="false" outlineLevel="0" collapsed="false">
      <c r="A46" s="2" t="s">
        <v>0</v>
      </c>
      <c r="B46" s="2" t="s">
        <v>320</v>
      </c>
      <c r="C46" s="2" t="s">
        <v>321</v>
      </c>
      <c r="D46" s="2" t="s">
        <v>322</v>
      </c>
      <c r="E46" s="2" t="s">
        <v>261</v>
      </c>
    </row>
    <row r="47" customFormat="false" ht="15" hidden="false" customHeight="false" outlineLevel="0" collapsed="false">
      <c r="A47" s="17" t="s">
        <v>240</v>
      </c>
      <c r="B47" s="10" t="n">
        <f aca="false">IF(COUNTIFS('1 · BBDD 2025 (insumo)'!$A$2:$A$29,$A47,'1 · BBDD 2025 (insumo)'!$AP$2:$AP$29,1)&gt;0,1,0)</f>
        <v>0</v>
      </c>
      <c r="C47" s="10" t="n">
        <f aca="false">IF(COUNTIFS('1 · BBDD 2025 (insumo)'!$A$2:$A$29,$A47,'1 · BBDD 2025 (insumo)'!$AQ$2:$AQ$29,1)&gt;0,1,0)</f>
        <v>0</v>
      </c>
      <c r="D47" s="10" t="n">
        <f aca="false">IF(COUNTIFS('1 · BBDD 2025 (insumo)'!$A$2:$A$29,$A47,'1 · BBDD 2025 (insumo)'!$AR$2:$AR$29,1)&gt;0,1,0)</f>
        <v>0</v>
      </c>
      <c r="E47" s="12" t="n">
        <f aca="false">SUM(B47:D47)</f>
        <v>0</v>
      </c>
    </row>
    <row r="48" customFormat="false" ht="15" hidden="false" customHeight="false" outlineLevel="0" collapsed="false">
      <c r="A48" s="17" t="s">
        <v>51</v>
      </c>
      <c r="B48" s="10" t="n">
        <f aca="false">IF(COUNTIFS('1 · BBDD 2025 (insumo)'!$A$2:$A$29,$A48,'1 · BBDD 2025 (insumo)'!$AP$2:$AP$29,1)&gt;0,1,0)</f>
        <v>0</v>
      </c>
      <c r="C48" s="10" t="n">
        <f aca="false">IF(COUNTIFS('1 · BBDD 2025 (insumo)'!$A$2:$A$29,$A48,'1 · BBDD 2025 (insumo)'!$AQ$2:$AQ$29,1)&gt;0,1,0)</f>
        <v>1</v>
      </c>
      <c r="D48" s="10" t="n">
        <f aca="false">IF(COUNTIFS('1 · BBDD 2025 (insumo)'!$A$2:$A$29,$A48,'1 · BBDD 2025 (insumo)'!$AR$2:$AR$29,1)&gt;0,1,0)</f>
        <v>0</v>
      </c>
      <c r="E48" s="12" t="n">
        <f aca="false">SUM(B48:D48)</f>
        <v>1</v>
      </c>
    </row>
    <row r="49" customFormat="false" ht="15" hidden="false" customHeight="false" outlineLevel="0" collapsed="false">
      <c r="A49" s="17" t="s">
        <v>63</v>
      </c>
      <c r="B49" s="10" t="n">
        <f aca="false">IF(COUNTIFS('1 · BBDD 2025 (insumo)'!$A$2:$A$29,$A49,'1 · BBDD 2025 (insumo)'!$AP$2:$AP$29,1)&gt;0,1,0)</f>
        <v>1</v>
      </c>
      <c r="C49" s="10" t="n">
        <f aca="false">IF(COUNTIFS('1 · BBDD 2025 (insumo)'!$A$2:$A$29,$A49,'1 · BBDD 2025 (insumo)'!$AQ$2:$AQ$29,1)&gt;0,1,0)</f>
        <v>1</v>
      </c>
      <c r="D49" s="10" t="n">
        <f aca="false">IF(COUNTIFS('1 · BBDD 2025 (insumo)'!$A$2:$A$29,$A49,'1 · BBDD 2025 (insumo)'!$AR$2:$AR$29,1)&gt;0,1,0)</f>
        <v>0</v>
      </c>
      <c r="E49" s="12" t="n">
        <f aca="false">SUM(B49:D49)</f>
        <v>2</v>
      </c>
    </row>
    <row r="50" customFormat="false" ht="15" hidden="false" customHeight="false" outlineLevel="0" collapsed="false">
      <c r="A50" s="17" t="s">
        <v>96</v>
      </c>
      <c r="B50" s="10" t="n">
        <f aca="false">IF(COUNTIFS('1 · BBDD 2025 (insumo)'!$A$2:$A$29,$A50,'1 · BBDD 2025 (insumo)'!$AP$2:$AP$29,1)&gt;0,1,0)</f>
        <v>0</v>
      </c>
      <c r="C50" s="10" t="n">
        <f aca="false">IF(COUNTIFS('1 · BBDD 2025 (insumo)'!$A$2:$A$29,$A50,'1 · BBDD 2025 (insumo)'!$AQ$2:$AQ$29,1)&gt;0,1,0)</f>
        <v>1</v>
      </c>
      <c r="D50" s="10" t="n">
        <f aca="false">IF(COUNTIFS('1 · BBDD 2025 (insumo)'!$A$2:$A$29,$A50,'1 · BBDD 2025 (insumo)'!$AR$2:$AR$29,1)&gt;0,1,0)</f>
        <v>1</v>
      </c>
      <c r="E50" s="12" t="n">
        <f aca="false">SUM(B50:D50)</f>
        <v>2</v>
      </c>
    </row>
    <row r="51" customFormat="false" ht="15" hidden="false" customHeight="false" outlineLevel="0" collapsed="false">
      <c r="A51" s="17" t="s">
        <v>128</v>
      </c>
      <c r="B51" s="10" t="n">
        <f aca="false">IF(COUNTIFS('1 · BBDD 2025 (insumo)'!$A$2:$A$29,$A51,'1 · BBDD 2025 (insumo)'!$AP$2:$AP$29,1)&gt;0,1,0)</f>
        <v>1</v>
      </c>
      <c r="C51" s="10" t="n">
        <f aca="false">IF(COUNTIFS('1 · BBDD 2025 (insumo)'!$A$2:$A$29,$A51,'1 · BBDD 2025 (insumo)'!$AQ$2:$AQ$29,1)&gt;0,1,0)</f>
        <v>1</v>
      </c>
      <c r="D51" s="10" t="n">
        <f aca="false">IF(COUNTIFS('1 · BBDD 2025 (insumo)'!$A$2:$A$29,$A51,'1 · BBDD 2025 (insumo)'!$AR$2:$AR$29,1)&gt;0,1,0)</f>
        <v>0</v>
      </c>
      <c r="E51" s="12" t="n">
        <f aca="false">SUM(B51:D51)</f>
        <v>2</v>
      </c>
    </row>
    <row r="52" customFormat="false" ht="15" hidden="false" customHeight="false" outlineLevel="0" collapsed="false">
      <c r="A52" s="17" t="s">
        <v>151</v>
      </c>
      <c r="B52" s="10" t="n">
        <f aca="false">IF(COUNTIFS('1 · BBDD 2025 (insumo)'!$A$2:$A$29,$A52,'1 · BBDD 2025 (insumo)'!$AP$2:$AP$29,1)&gt;0,1,0)</f>
        <v>0</v>
      </c>
      <c r="C52" s="10" t="n">
        <f aca="false">IF(COUNTIFS('1 · BBDD 2025 (insumo)'!$A$2:$A$29,$A52,'1 · BBDD 2025 (insumo)'!$AQ$2:$AQ$29,1)&gt;0,1,0)</f>
        <v>0</v>
      </c>
      <c r="D52" s="10" t="n">
        <f aca="false">IF(COUNTIFS('1 · BBDD 2025 (insumo)'!$A$2:$A$29,$A52,'1 · BBDD 2025 (insumo)'!$AR$2:$AR$29,1)&gt;0,1,0)</f>
        <v>1</v>
      </c>
      <c r="E52" s="12" t="n">
        <f aca="false">SUM(B52:D52)</f>
        <v>1</v>
      </c>
    </row>
    <row r="53" customFormat="false" ht="15" hidden="false" customHeight="false" outlineLevel="0" collapsed="false">
      <c r="A53" s="17" t="s">
        <v>241</v>
      </c>
      <c r="B53" s="10" t="n">
        <f aca="false">IF(COUNTIFS('1 · BBDD 2025 (insumo)'!$A$2:$A$29,$A53,'1 · BBDD 2025 (insumo)'!$AP$2:$AP$29,1)&gt;0,1,0)</f>
        <v>0</v>
      </c>
      <c r="C53" s="10" t="n">
        <f aca="false">IF(COUNTIFS('1 · BBDD 2025 (insumo)'!$A$2:$A$29,$A53,'1 · BBDD 2025 (insumo)'!$AQ$2:$AQ$29,1)&gt;0,1,0)</f>
        <v>0</v>
      </c>
      <c r="D53" s="10" t="n">
        <f aca="false">IF(COUNTIFS('1 · BBDD 2025 (insumo)'!$A$2:$A$29,$A53,'1 · BBDD 2025 (insumo)'!$AR$2:$AR$29,1)&gt;0,1,0)</f>
        <v>0</v>
      </c>
      <c r="E53" s="12" t="n">
        <f aca="false">SUM(B53:D53)</f>
        <v>0</v>
      </c>
    </row>
    <row r="54" customFormat="false" ht="15" hidden="false" customHeight="false" outlineLevel="0" collapsed="false">
      <c r="A54" s="17" t="s">
        <v>163</v>
      </c>
      <c r="B54" s="10" t="n">
        <f aca="false">IF(COUNTIFS('1 · BBDD 2025 (insumo)'!$A$2:$A$29,$A54,'1 · BBDD 2025 (insumo)'!$AP$2:$AP$29,1)&gt;0,1,0)</f>
        <v>0</v>
      </c>
      <c r="C54" s="10" t="n">
        <f aca="false">IF(COUNTIFS('1 · BBDD 2025 (insumo)'!$A$2:$A$29,$A54,'1 · BBDD 2025 (insumo)'!$AQ$2:$AQ$29,1)&gt;0,1,0)</f>
        <v>1</v>
      </c>
      <c r="D54" s="10" t="n">
        <f aca="false">IF(COUNTIFS('1 · BBDD 2025 (insumo)'!$A$2:$A$29,$A54,'1 · BBDD 2025 (insumo)'!$AR$2:$AR$29,1)&gt;0,1,0)</f>
        <v>0</v>
      </c>
      <c r="E54" s="12" t="n">
        <f aca="false">SUM(B54:D54)</f>
        <v>1</v>
      </c>
    </row>
    <row r="55" customFormat="false" ht="15" hidden="false" customHeight="false" outlineLevel="0" collapsed="false">
      <c r="A55" s="17" t="s">
        <v>170</v>
      </c>
      <c r="B55" s="10" t="n">
        <f aca="false">IF(COUNTIFS('1 · BBDD 2025 (insumo)'!$A$2:$A$29,$A55,'1 · BBDD 2025 (insumo)'!$AP$2:$AP$29,1)&gt;0,1,0)</f>
        <v>0</v>
      </c>
      <c r="C55" s="10" t="n">
        <f aca="false">IF(COUNTIFS('1 · BBDD 2025 (insumo)'!$A$2:$A$29,$A55,'1 · BBDD 2025 (insumo)'!$AQ$2:$AQ$29,1)&gt;0,1,0)</f>
        <v>1</v>
      </c>
      <c r="D55" s="10" t="n">
        <f aca="false">IF(COUNTIFS('1 · BBDD 2025 (insumo)'!$A$2:$A$29,$A55,'1 · BBDD 2025 (insumo)'!$AR$2:$AR$29,1)&gt;0,1,0)</f>
        <v>0</v>
      </c>
      <c r="E55" s="12" t="n">
        <f aca="false">SUM(B55:D55)</f>
        <v>1</v>
      </c>
    </row>
    <row r="56" customFormat="false" ht="15" hidden="false" customHeight="false" outlineLevel="0" collapsed="false">
      <c r="A56" s="17" t="s">
        <v>177</v>
      </c>
      <c r="B56" s="10" t="n">
        <f aca="false">IF(COUNTIFS('1 · BBDD 2025 (insumo)'!$A$2:$A$29,$A56,'1 · BBDD 2025 (insumo)'!$AP$2:$AP$29,1)&gt;0,1,0)</f>
        <v>0</v>
      </c>
      <c r="C56" s="10" t="n">
        <f aca="false">IF(COUNTIFS('1 · BBDD 2025 (insumo)'!$A$2:$A$29,$A56,'1 · BBDD 2025 (insumo)'!$AQ$2:$AQ$29,1)&gt;0,1,0)</f>
        <v>0</v>
      </c>
      <c r="D56" s="10" t="n">
        <f aca="false">IF(COUNTIFS('1 · BBDD 2025 (insumo)'!$A$2:$A$29,$A56,'1 · BBDD 2025 (insumo)'!$AR$2:$AR$29,1)&gt;0,1,0)</f>
        <v>0</v>
      </c>
      <c r="E56" s="12" t="n">
        <f aca="false">SUM(B56:D56)</f>
        <v>0</v>
      </c>
    </row>
    <row r="57" customFormat="false" ht="15" hidden="false" customHeight="false" outlineLevel="0" collapsed="false">
      <c r="A57" s="17" t="s">
        <v>183</v>
      </c>
      <c r="B57" s="10" t="n">
        <f aca="false">IF(COUNTIFS('1 · BBDD 2025 (insumo)'!$A$2:$A$29,$A57,'1 · BBDD 2025 (insumo)'!$AP$2:$AP$29,1)&gt;0,1,0)</f>
        <v>0</v>
      </c>
      <c r="C57" s="10" t="n">
        <f aca="false">IF(COUNTIFS('1 · BBDD 2025 (insumo)'!$A$2:$A$29,$A57,'1 · BBDD 2025 (insumo)'!$AQ$2:$AQ$29,1)&gt;0,1,0)</f>
        <v>0</v>
      </c>
      <c r="D57" s="10" t="n">
        <f aca="false">IF(COUNTIFS('1 · BBDD 2025 (insumo)'!$A$2:$A$29,$A57,'1 · BBDD 2025 (insumo)'!$AR$2:$AR$29,1)&gt;0,1,0)</f>
        <v>0</v>
      </c>
      <c r="E57" s="12" t="n">
        <f aca="false">SUM(B57:D57)</f>
        <v>0</v>
      </c>
    </row>
    <row r="58" customFormat="false" ht="15" hidden="false" customHeight="false" outlineLevel="0" collapsed="false">
      <c r="A58" s="17" t="s">
        <v>242</v>
      </c>
      <c r="B58" s="10" t="n">
        <f aca="false">IF(COUNTIFS('1 · BBDD 2025 (insumo)'!$A$2:$A$29,$A58,'1 · BBDD 2025 (insumo)'!$AP$2:$AP$29,1)&gt;0,1,0)</f>
        <v>0</v>
      </c>
      <c r="C58" s="10" t="n">
        <f aca="false">IF(COUNTIFS('1 · BBDD 2025 (insumo)'!$A$2:$A$29,$A58,'1 · BBDD 2025 (insumo)'!$AQ$2:$AQ$29,1)&gt;0,1,0)</f>
        <v>0</v>
      </c>
      <c r="D58" s="10" t="n">
        <f aca="false">IF(COUNTIFS('1 · BBDD 2025 (insumo)'!$A$2:$A$29,$A58,'1 · BBDD 2025 (insumo)'!$AR$2:$AR$29,1)&gt;0,1,0)</f>
        <v>0</v>
      </c>
      <c r="E58" s="12" t="n">
        <f aca="false">SUM(B58:D58)</f>
        <v>0</v>
      </c>
    </row>
    <row r="59" customFormat="false" ht="15" hidden="false" customHeight="false" outlineLevel="0" collapsed="false">
      <c r="A59" s="17" t="s">
        <v>190</v>
      </c>
      <c r="B59" s="10" t="n">
        <f aca="false">IF(COUNTIFS('1 · BBDD 2025 (insumo)'!$A$2:$A$29,$A59,'1 · BBDD 2025 (insumo)'!$AP$2:$AP$29,1)&gt;0,1,0)</f>
        <v>1</v>
      </c>
      <c r="C59" s="10" t="n">
        <f aca="false">IF(COUNTIFS('1 · BBDD 2025 (insumo)'!$A$2:$A$29,$A59,'1 · BBDD 2025 (insumo)'!$AQ$2:$AQ$29,1)&gt;0,1,0)</f>
        <v>0</v>
      </c>
      <c r="D59" s="10" t="n">
        <f aca="false">IF(COUNTIFS('1 · BBDD 2025 (insumo)'!$A$2:$A$29,$A59,'1 · BBDD 2025 (insumo)'!$AR$2:$AR$29,1)&gt;0,1,0)</f>
        <v>0</v>
      </c>
      <c r="E59" s="12" t="n">
        <f aca="false">SUM(B59:D59)</f>
        <v>1</v>
      </c>
    </row>
    <row r="60" customFormat="false" ht="15" hidden="false" customHeight="false" outlineLevel="0" collapsed="false">
      <c r="A60" s="17" t="s">
        <v>243</v>
      </c>
      <c r="B60" s="10" t="n">
        <f aca="false">IF(COUNTIFS('1 · BBDD 2025 (insumo)'!$A$2:$A$29,$A60,'1 · BBDD 2025 (insumo)'!$AP$2:$AP$29,1)&gt;0,1,0)</f>
        <v>0</v>
      </c>
      <c r="C60" s="10" t="n">
        <f aca="false">IF(COUNTIFS('1 · BBDD 2025 (insumo)'!$A$2:$A$29,$A60,'1 · BBDD 2025 (insumo)'!$AQ$2:$AQ$29,1)&gt;0,1,0)</f>
        <v>0</v>
      </c>
      <c r="D60" s="10" t="n">
        <f aca="false">IF(COUNTIFS('1 · BBDD 2025 (insumo)'!$A$2:$A$29,$A60,'1 · BBDD 2025 (insumo)'!$AR$2:$AR$29,1)&gt;0,1,0)</f>
        <v>0</v>
      </c>
      <c r="E60" s="12" t="n">
        <f aca="false">SUM(B60:D60)</f>
        <v>0</v>
      </c>
    </row>
    <row r="61" customFormat="false" ht="15" hidden="false" customHeight="false" outlineLevel="0" collapsed="false">
      <c r="A61" s="17" t="s">
        <v>200</v>
      </c>
      <c r="B61" s="10" t="n">
        <f aca="false">IF(COUNTIFS('1 · BBDD 2025 (insumo)'!$A$2:$A$29,$A61,'1 · BBDD 2025 (insumo)'!$AP$2:$AP$29,1)&gt;0,1,0)</f>
        <v>0</v>
      </c>
      <c r="C61" s="10" t="n">
        <f aca="false">IF(COUNTIFS('1 · BBDD 2025 (insumo)'!$A$2:$A$29,$A61,'1 · BBDD 2025 (insumo)'!$AQ$2:$AQ$29,1)&gt;0,1,0)</f>
        <v>1</v>
      </c>
      <c r="D61" s="10" t="n">
        <f aca="false">IF(COUNTIFS('1 · BBDD 2025 (insumo)'!$A$2:$A$29,$A61,'1 · BBDD 2025 (insumo)'!$AR$2:$AR$29,1)&gt;0,1,0)</f>
        <v>1</v>
      </c>
      <c r="E61" s="12" t="n">
        <f aca="false">SUM(B61:D61)</f>
        <v>2</v>
      </c>
    </row>
    <row r="62" customFormat="false" ht="15" hidden="false" customHeight="false" outlineLevel="0" collapsed="false">
      <c r="A62" s="17" t="s">
        <v>244</v>
      </c>
      <c r="B62" s="10" t="n">
        <f aca="false">IF(COUNTIFS('1 · BBDD 2025 (insumo)'!$A$2:$A$29,$A62,'1 · BBDD 2025 (insumo)'!$AP$2:$AP$29,1)&gt;0,1,0)</f>
        <v>0</v>
      </c>
      <c r="C62" s="10" t="n">
        <f aca="false">IF(COUNTIFS('1 · BBDD 2025 (insumo)'!$A$2:$A$29,$A62,'1 · BBDD 2025 (insumo)'!$AQ$2:$AQ$29,1)&gt;0,1,0)</f>
        <v>0</v>
      </c>
      <c r="D62" s="10" t="n">
        <f aca="false">IF(COUNTIFS('1 · BBDD 2025 (insumo)'!$A$2:$A$29,$A62,'1 · BBDD 2025 (insumo)'!$AR$2:$AR$29,1)&gt;0,1,0)</f>
        <v>0</v>
      </c>
      <c r="E62" s="12" t="n">
        <f aca="false">SUM(B62:D62)</f>
        <v>0</v>
      </c>
    </row>
    <row r="63" customFormat="false" ht="15" hidden="false" customHeight="false" outlineLevel="0" collapsed="false">
      <c r="A63" s="17" t="s">
        <v>245</v>
      </c>
      <c r="B63" s="10" t="n">
        <f aca="false">IF(COUNTIFS('1 · BBDD 2025 (insumo)'!$A$2:$A$29,$A63,'1 · BBDD 2025 (insumo)'!$AP$2:$AP$29,1)&gt;0,1,0)</f>
        <v>0</v>
      </c>
      <c r="C63" s="10" t="n">
        <f aca="false">IF(COUNTIFS('1 · BBDD 2025 (insumo)'!$A$2:$A$29,$A63,'1 · BBDD 2025 (insumo)'!$AQ$2:$AQ$29,1)&gt;0,1,0)</f>
        <v>0</v>
      </c>
      <c r="D63" s="10" t="n">
        <f aca="false">IF(COUNTIFS('1 · BBDD 2025 (insumo)'!$A$2:$A$29,$A63,'1 · BBDD 2025 (insumo)'!$AR$2:$AR$29,1)&gt;0,1,0)</f>
        <v>0</v>
      </c>
      <c r="E63" s="12" t="n">
        <f aca="false">SUM(B63:D63)</f>
        <v>0</v>
      </c>
    </row>
    <row r="64" customFormat="false" ht="15" hidden="false" customHeight="false" outlineLevel="0" collapsed="false">
      <c r="A64" s="17" t="s">
        <v>246</v>
      </c>
      <c r="B64" s="10" t="n">
        <f aca="false">IF(COUNTIFS('1 · BBDD 2025 (insumo)'!$A$2:$A$29,$A64,'1 · BBDD 2025 (insumo)'!$AP$2:$AP$29,1)&gt;0,1,0)</f>
        <v>0</v>
      </c>
      <c r="C64" s="10" t="n">
        <f aca="false">IF(COUNTIFS('1 · BBDD 2025 (insumo)'!$A$2:$A$29,$A64,'1 · BBDD 2025 (insumo)'!$AQ$2:$AQ$29,1)&gt;0,1,0)</f>
        <v>0</v>
      </c>
      <c r="D64" s="10" t="n">
        <f aca="false">IF(COUNTIFS('1 · BBDD 2025 (insumo)'!$A$2:$A$29,$A64,'1 · BBDD 2025 (insumo)'!$AR$2:$AR$29,1)&gt;0,1,0)</f>
        <v>0</v>
      </c>
      <c r="E64" s="12" t="n">
        <f aca="false">SUM(B64:D64)</f>
        <v>0</v>
      </c>
    </row>
    <row r="65" customFormat="false" ht="15" hidden="false" customHeight="false" outlineLevel="0" collapsed="false">
      <c r="A65" s="17" t="s">
        <v>248</v>
      </c>
      <c r="B65" s="10" t="n">
        <f aca="false">IF(COUNTIFS('1 · BBDD 2025 (insumo)'!$A$2:$A$29,$A65,'1 · BBDD 2025 (insumo)'!$AP$2:$AP$29,1)&gt;0,1,0)</f>
        <v>0</v>
      </c>
      <c r="C65" s="10" t="n">
        <f aca="false">IF(COUNTIFS('1 · BBDD 2025 (insumo)'!$A$2:$A$29,$A65,'1 · BBDD 2025 (insumo)'!$AQ$2:$AQ$29,1)&gt;0,1,0)</f>
        <v>0</v>
      </c>
      <c r="D65" s="10" t="n">
        <f aca="false">IF(COUNTIFS('1 · BBDD 2025 (insumo)'!$A$2:$A$29,$A65,'1 · BBDD 2025 (insumo)'!$AR$2:$AR$29,1)&gt;0,1,0)</f>
        <v>0</v>
      </c>
      <c r="E65" s="12" t="n">
        <f aca="false">SUM(B65:D65)</f>
        <v>0</v>
      </c>
    </row>
    <row r="66" customFormat="false" ht="15" hidden="false" customHeight="false" outlineLevel="0" collapsed="false">
      <c r="A66" s="17" t="s">
        <v>249</v>
      </c>
      <c r="B66" s="10" t="n">
        <f aca="false">IF(COUNTIFS('1 · BBDD 2025 (insumo)'!$A$2:$A$29,$A66,'1 · BBDD 2025 (insumo)'!$AP$2:$AP$29,1)&gt;0,1,0)</f>
        <v>0</v>
      </c>
      <c r="C66" s="10" t="n">
        <f aca="false">IF(COUNTIFS('1 · BBDD 2025 (insumo)'!$A$2:$A$29,$A66,'1 · BBDD 2025 (insumo)'!$AQ$2:$AQ$29,1)&gt;0,1,0)</f>
        <v>0</v>
      </c>
      <c r="D66" s="10" t="n">
        <f aca="false">IF(COUNTIFS('1 · BBDD 2025 (insumo)'!$A$2:$A$29,$A66,'1 · BBDD 2025 (insumo)'!$AR$2:$AR$29,1)&gt;0,1,0)</f>
        <v>0</v>
      </c>
      <c r="E66" s="12" t="n">
        <f aca="false">SUM(B66:D66)</f>
        <v>0</v>
      </c>
    </row>
    <row r="69" customFormat="false" ht="15" hidden="false" customHeight="false" outlineLevel="0" collapsed="false">
      <c r="A69" s="8" t="s">
        <v>323</v>
      </c>
    </row>
    <row r="70" customFormat="false" ht="32.8" hidden="false" customHeight="false" outlineLevel="0" collapsed="false">
      <c r="A70" s="2" t="s">
        <v>0</v>
      </c>
      <c r="B70" s="2" t="s">
        <v>324</v>
      </c>
      <c r="C70" s="2" t="s">
        <v>325</v>
      </c>
      <c r="D70" s="2" t="s">
        <v>326</v>
      </c>
      <c r="E70" s="2" t="s">
        <v>327</v>
      </c>
      <c r="F70" s="2" t="s">
        <v>261</v>
      </c>
    </row>
    <row r="71" customFormat="false" ht="15" hidden="false" customHeight="false" outlineLevel="0" collapsed="false">
      <c r="A71" s="17" t="s">
        <v>240</v>
      </c>
      <c r="B71" s="10" t="n">
        <f aca="false">IF(COUNTIFS('1 · BBDD 2025 (insumo)'!$A$2:$A$29,$A71,'1 · BBDD 2025 (insumo)'!$AS$2:$AS$29,1)&gt;0,1,0)</f>
        <v>0</v>
      </c>
      <c r="C71" s="10" t="n">
        <f aca="false">IF(COUNTIFS('1 · BBDD 2025 (insumo)'!$A$2:$A$29,$A71,'1 · BBDD 2025 (insumo)'!$AT$2:$AT$29,1)&gt;0,1,0)</f>
        <v>0</v>
      </c>
      <c r="D71" s="10" t="n">
        <f aca="false">IF(COUNTIFS('1 · BBDD 2025 (insumo)'!$A$2:$A$29,$A71,'1 · BBDD 2025 (insumo)'!$AU$2:$AU$29,1)&gt;0,1,0)</f>
        <v>0</v>
      </c>
      <c r="E71" s="10" t="n">
        <f aca="false">IF(COUNTIFS('1 · BBDD 2025 (insumo)'!$A$2:$A$29,$A71,'1 · BBDD 2025 (insumo)'!$AV$2:$AV$29,1)&gt;0,1,0)</f>
        <v>0</v>
      </c>
      <c r="F71" s="12" t="n">
        <f aca="false">SUM(B71:E71)</f>
        <v>0</v>
      </c>
    </row>
    <row r="72" customFormat="false" ht="15" hidden="false" customHeight="false" outlineLevel="0" collapsed="false">
      <c r="A72" s="17" t="s">
        <v>51</v>
      </c>
      <c r="B72" s="10" t="n">
        <f aca="false">IF(COUNTIFS('1 · BBDD 2025 (insumo)'!$A$2:$A$29,$A72,'1 · BBDD 2025 (insumo)'!$AS$2:$AS$29,1)&gt;0,1,0)</f>
        <v>0</v>
      </c>
      <c r="C72" s="10" t="n">
        <f aca="false">IF(COUNTIFS('1 · BBDD 2025 (insumo)'!$A$2:$A$29,$A72,'1 · BBDD 2025 (insumo)'!$AT$2:$AT$29,1)&gt;0,1,0)</f>
        <v>0</v>
      </c>
      <c r="D72" s="10" t="n">
        <f aca="false">IF(COUNTIFS('1 · BBDD 2025 (insumo)'!$A$2:$A$29,$A72,'1 · BBDD 2025 (insumo)'!$AU$2:$AU$29,1)&gt;0,1,0)</f>
        <v>0</v>
      </c>
      <c r="E72" s="10" t="n">
        <f aca="false">IF(COUNTIFS('1 · BBDD 2025 (insumo)'!$A$2:$A$29,$A72,'1 · BBDD 2025 (insumo)'!$AV$2:$AV$29,1)&gt;0,1,0)</f>
        <v>1</v>
      </c>
      <c r="F72" s="12" t="n">
        <f aca="false">SUM(B72:E72)</f>
        <v>1</v>
      </c>
    </row>
    <row r="73" customFormat="false" ht="15" hidden="false" customHeight="false" outlineLevel="0" collapsed="false">
      <c r="A73" s="17" t="s">
        <v>63</v>
      </c>
      <c r="B73" s="10" t="n">
        <f aca="false">IF(COUNTIFS('1 · BBDD 2025 (insumo)'!$A$2:$A$29,$A73,'1 · BBDD 2025 (insumo)'!$AS$2:$AS$29,1)&gt;0,1,0)</f>
        <v>1</v>
      </c>
      <c r="C73" s="10" t="n">
        <f aca="false">IF(COUNTIFS('1 · BBDD 2025 (insumo)'!$A$2:$A$29,$A73,'1 · BBDD 2025 (insumo)'!$AT$2:$AT$29,1)&gt;0,1,0)</f>
        <v>1</v>
      </c>
      <c r="D73" s="10" t="n">
        <f aca="false">IF(COUNTIFS('1 · BBDD 2025 (insumo)'!$A$2:$A$29,$A73,'1 · BBDD 2025 (insumo)'!$AU$2:$AU$29,1)&gt;0,1,0)</f>
        <v>0</v>
      </c>
      <c r="E73" s="10" t="n">
        <f aca="false">IF(COUNTIFS('1 · BBDD 2025 (insumo)'!$A$2:$A$29,$A73,'1 · BBDD 2025 (insumo)'!$AV$2:$AV$29,1)&gt;0,1,0)</f>
        <v>0</v>
      </c>
      <c r="F73" s="12" t="n">
        <f aca="false">SUM(B73:E73)</f>
        <v>2</v>
      </c>
    </row>
    <row r="74" customFormat="false" ht="15" hidden="false" customHeight="false" outlineLevel="0" collapsed="false">
      <c r="A74" s="17" t="s">
        <v>96</v>
      </c>
      <c r="B74" s="10" t="n">
        <f aca="false">IF(COUNTIFS('1 · BBDD 2025 (insumo)'!$A$2:$A$29,$A74,'1 · BBDD 2025 (insumo)'!$AS$2:$AS$29,1)&gt;0,1,0)</f>
        <v>1</v>
      </c>
      <c r="C74" s="10" t="n">
        <f aca="false">IF(COUNTIFS('1 · BBDD 2025 (insumo)'!$A$2:$A$29,$A74,'1 · BBDD 2025 (insumo)'!$AT$2:$AT$29,1)&gt;0,1,0)</f>
        <v>1</v>
      </c>
      <c r="D74" s="10" t="n">
        <f aca="false">IF(COUNTIFS('1 · BBDD 2025 (insumo)'!$A$2:$A$29,$A74,'1 · BBDD 2025 (insumo)'!$AU$2:$AU$29,1)&gt;0,1,0)</f>
        <v>1</v>
      </c>
      <c r="E74" s="10" t="n">
        <f aca="false">IF(COUNTIFS('1 · BBDD 2025 (insumo)'!$A$2:$A$29,$A74,'1 · BBDD 2025 (insumo)'!$AV$2:$AV$29,1)&gt;0,1,0)</f>
        <v>0</v>
      </c>
      <c r="F74" s="12" t="n">
        <f aca="false">SUM(B74:E74)</f>
        <v>3</v>
      </c>
    </row>
    <row r="75" customFormat="false" ht="15" hidden="false" customHeight="false" outlineLevel="0" collapsed="false">
      <c r="A75" s="17" t="s">
        <v>128</v>
      </c>
      <c r="B75" s="10" t="n">
        <f aca="false">IF(COUNTIFS('1 · BBDD 2025 (insumo)'!$A$2:$A$29,$A75,'1 · BBDD 2025 (insumo)'!$AS$2:$AS$29,1)&gt;0,1,0)</f>
        <v>1</v>
      </c>
      <c r="C75" s="10" t="n">
        <f aca="false">IF(COUNTIFS('1 · BBDD 2025 (insumo)'!$A$2:$A$29,$A75,'1 · BBDD 2025 (insumo)'!$AT$2:$AT$29,1)&gt;0,1,0)</f>
        <v>1</v>
      </c>
      <c r="D75" s="10" t="n">
        <f aca="false">IF(COUNTIFS('1 · BBDD 2025 (insumo)'!$A$2:$A$29,$A75,'1 · BBDD 2025 (insumo)'!$AU$2:$AU$29,1)&gt;0,1,0)</f>
        <v>1</v>
      </c>
      <c r="E75" s="10" t="n">
        <f aca="false">IF(COUNTIFS('1 · BBDD 2025 (insumo)'!$A$2:$A$29,$A75,'1 · BBDD 2025 (insumo)'!$AV$2:$AV$29,1)&gt;0,1,0)</f>
        <v>1</v>
      </c>
      <c r="F75" s="12" t="n">
        <f aca="false">SUM(B75:E75)</f>
        <v>4</v>
      </c>
    </row>
    <row r="76" customFormat="false" ht="15" hidden="false" customHeight="false" outlineLevel="0" collapsed="false">
      <c r="A76" s="17" t="s">
        <v>151</v>
      </c>
      <c r="B76" s="10" t="n">
        <f aca="false">IF(COUNTIFS('1 · BBDD 2025 (insumo)'!$A$2:$A$29,$A76,'1 · BBDD 2025 (insumo)'!$AS$2:$AS$29,1)&gt;0,1,0)</f>
        <v>0</v>
      </c>
      <c r="C76" s="10" t="n">
        <f aca="false">IF(COUNTIFS('1 · BBDD 2025 (insumo)'!$A$2:$A$29,$A76,'1 · BBDD 2025 (insumo)'!$AT$2:$AT$29,1)&gt;0,1,0)</f>
        <v>0</v>
      </c>
      <c r="D76" s="10" t="n">
        <f aca="false">IF(COUNTIFS('1 · BBDD 2025 (insumo)'!$A$2:$A$29,$A76,'1 · BBDD 2025 (insumo)'!$AU$2:$AU$29,1)&gt;0,1,0)</f>
        <v>0</v>
      </c>
      <c r="E76" s="10" t="n">
        <f aca="false">IF(COUNTIFS('1 · BBDD 2025 (insumo)'!$A$2:$A$29,$A76,'1 · BBDD 2025 (insumo)'!$AV$2:$AV$29,1)&gt;0,1,0)</f>
        <v>1</v>
      </c>
      <c r="F76" s="12" t="n">
        <f aca="false">SUM(B76:E76)</f>
        <v>1</v>
      </c>
    </row>
    <row r="77" customFormat="false" ht="15" hidden="false" customHeight="false" outlineLevel="0" collapsed="false">
      <c r="A77" s="17" t="s">
        <v>241</v>
      </c>
      <c r="B77" s="10" t="n">
        <f aca="false">IF(COUNTIFS('1 · BBDD 2025 (insumo)'!$A$2:$A$29,$A77,'1 · BBDD 2025 (insumo)'!$AS$2:$AS$29,1)&gt;0,1,0)</f>
        <v>0</v>
      </c>
      <c r="C77" s="10" t="n">
        <f aca="false">IF(COUNTIFS('1 · BBDD 2025 (insumo)'!$A$2:$A$29,$A77,'1 · BBDD 2025 (insumo)'!$AT$2:$AT$29,1)&gt;0,1,0)</f>
        <v>0</v>
      </c>
      <c r="D77" s="10" t="n">
        <f aca="false">IF(COUNTIFS('1 · BBDD 2025 (insumo)'!$A$2:$A$29,$A77,'1 · BBDD 2025 (insumo)'!$AU$2:$AU$29,1)&gt;0,1,0)</f>
        <v>0</v>
      </c>
      <c r="E77" s="10" t="n">
        <f aca="false">IF(COUNTIFS('1 · BBDD 2025 (insumo)'!$A$2:$A$29,$A77,'1 · BBDD 2025 (insumo)'!$AV$2:$AV$29,1)&gt;0,1,0)</f>
        <v>0</v>
      </c>
      <c r="F77" s="12" t="n">
        <f aca="false">SUM(B77:E77)</f>
        <v>0</v>
      </c>
    </row>
    <row r="78" customFormat="false" ht="15" hidden="false" customHeight="false" outlineLevel="0" collapsed="false">
      <c r="A78" s="17" t="s">
        <v>163</v>
      </c>
      <c r="B78" s="10" t="n">
        <f aca="false">IF(COUNTIFS('1 · BBDD 2025 (insumo)'!$A$2:$A$29,$A78,'1 · BBDD 2025 (insumo)'!$AS$2:$AS$29,1)&gt;0,1,0)</f>
        <v>1</v>
      </c>
      <c r="C78" s="10" t="n">
        <f aca="false">IF(COUNTIFS('1 · BBDD 2025 (insumo)'!$A$2:$A$29,$A78,'1 · BBDD 2025 (insumo)'!$AT$2:$AT$29,1)&gt;0,1,0)</f>
        <v>1</v>
      </c>
      <c r="D78" s="10" t="n">
        <f aca="false">IF(COUNTIFS('1 · BBDD 2025 (insumo)'!$A$2:$A$29,$A78,'1 · BBDD 2025 (insumo)'!$AU$2:$AU$29,1)&gt;0,1,0)</f>
        <v>0</v>
      </c>
      <c r="E78" s="10" t="n">
        <f aca="false">IF(COUNTIFS('1 · BBDD 2025 (insumo)'!$A$2:$A$29,$A78,'1 · BBDD 2025 (insumo)'!$AV$2:$AV$29,1)&gt;0,1,0)</f>
        <v>0</v>
      </c>
      <c r="F78" s="12" t="n">
        <f aca="false">SUM(B78:E78)</f>
        <v>2</v>
      </c>
    </row>
    <row r="79" customFormat="false" ht="15" hidden="false" customHeight="false" outlineLevel="0" collapsed="false">
      <c r="A79" s="17" t="s">
        <v>170</v>
      </c>
      <c r="B79" s="10" t="n">
        <f aca="false">IF(COUNTIFS('1 · BBDD 2025 (insumo)'!$A$2:$A$29,$A79,'1 · BBDD 2025 (insumo)'!$AS$2:$AS$29,1)&gt;0,1,0)</f>
        <v>0</v>
      </c>
      <c r="C79" s="10" t="n">
        <f aca="false">IF(COUNTIFS('1 · BBDD 2025 (insumo)'!$A$2:$A$29,$A79,'1 · BBDD 2025 (insumo)'!$AT$2:$AT$29,1)&gt;0,1,0)</f>
        <v>0</v>
      </c>
      <c r="D79" s="10" t="n">
        <f aca="false">IF(COUNTIFS('1 · BBDD 2025 (insumo)'!$A$2:$A$29,$A79,'1 · BBDD 2025 (insumo)'!$AU$2:$AU$29,1)&gt;0,1,0)</f>
        <v>1</v>
      </c>
      <c r="E79" s="10" t="n">
        <f aca="false">IF(COUNTIFS('1 · BBDD 2025 (insumo)'!$A$2:$A$29,$A79,'1 · BBDD 2025 (insumo)'!$AV$2:$AV$29,1)&gt;0,1,0)</f>
        <v>0</v>
      </c>
      <c r="F79" s="12" t="n">
        <f aca="false">SUM(B79:E79)</f>
        <v>1</v>
      </c>
    </row>
    <row r="80" customFormat="false" ht="15" hidden="false" customHeight="false" outlineLevel="0" collapsed="false">
      <c r="A80" s="17" t="s">
        <v>177</v>
      </c>
      <c r="B80" s="10" t="n">
        <f aca="false">IF(COUNTIFS('1 · BBDD 2025 (insumo)'!$A$2:$A$29,$A80,'1 · BBDD 2025 (insumo)'!$AS$2:$AS$29,1)&gt;0,1,0)</f>
        <v>0</v>
      </c>
      <c r="C80" s="10" t="n">
        <f aca="false">IF(COUNTIFS('1 · BBDD 2025 (insumo)'!$A$2:$A$29,$A80,'1 · BBDD 2025 (insumo)'!$AT$2:$AT$29,1)&gt;0,1,0)</f>
        <v>0</v>
      </c>
      <c r="D80" s="10" t="n">
        <f aca="false">IF(COUNTIFS('1 · BBDD 2025 (insumo)'!$A$2:$A$29,$A80,'1 · BBDD 2025 (insumo)'!$AU$2:$AU$29,1)&gt;0,1,0)</f>
        <v>1</v>
      </c>
      <c r="E80" s="10" t="n">
        <f aca="false">IF(COUNTIFS('1 · BBDD 2025 (insumo)'!$A$2:$A$29,$A80,'1 · BBDD 2025 (insumo)'!$AV$2:$AV$29,1)&gt;0,1,0)</f>
        <v>1</v>
      </c>
      <c r="F80" s="12" t="n">
        <f aca="false">SUM(B80:E80)</f>
        <v>2</v>
      </c>
    </row>
    <row r="81" customFormat="false" ht="15" hidden="false" customHeight="false" outlineLevel="0" collapsed="false">
      <c r="A81" s="17" t="s">
        <v>183</v>
      </c>
      <c r="B81" s="10" t="n">
        <f aca="false">IF(COUNTIFS('1 · BBDD 2025 (insumo)'!$A$2:$A$29,$A81,'1 · BBDD 2025 (insumo)'!$AS$2:$AS$29,1)&gt;0,1,0)</f>
        <v>0</v>
      </c>
      <c r="C81" s="10" t="n">
        <f aca="false">IF(COUNTIFS('1 · BBDD 2025 (insumo)'!$A$2:$A$29,$A81,'1 · BBDD 2025 (insumo)'!$AT$2:$AT$29,1)&gt;0,1,0)</f>
        <v>1</v>
      </c>
      <c r="D81" s="10" t="n">
        <f aca="false">IF(COUNTIFS('1 · BBDD 2025 (insumo)'!$A$2:$A$29,$A81,'1 · BBDD 2025 (insumo)'!$AU$2:$AU$29,1)&gt;0,1,0)</f>
        <v>0</v>
      </c>
      <c r="E81" s="10" t="n">
        <f aca="false">IF(COUNTIFS('1 · BBDD 2025 (insumo)'!$A$2:$A$29,$A81,'1 · BBDD 2025 (insumo)'!$AV$2:$AV$29,1)&gt;0,1,0)</f>
        <v>1</v>
      </c>
      <c r="F81" s="12" t="n">
        <f aca="false">SUM(B81:E81)</f>
        <v>2</v>
      </c>
    </row>
    <row r="82" customFormat="false" ht="15" hidden="false" customHeight="false" outlineLevel="0" collapsed="false">
      <c r="A82" s="17" t="s">
        <v>242</v>
      </c>
      <c r="B82" s="10" t="n">
        <f aca="false">IF(COUNTIFS('1 · BBDD 2025 (insumo)'!$A$2:$A$29,$A82,'1 · BBDD 2025 (insumo)'!$AS$2:$AS$29,1)&gt;0,1,0)</f>
        <v>0</v>
      </c>
      <c r="C82" s="10" t="n">
        <f aca="false">IF(COUNTIFS('1 · BBDD 2025 (insumo)'!$A$2:$A$29,$A82,'1 · BBDD 2025 (insumo)'!$AT$2:$AT$29,1)&gt;0,1,0)</f>
        <v>0</v>
      </c>
      <c r="D82" s="10" t="n">
        <f aca="false">IF(COUNTIFS('1 · BBDD 2025 (insumo)'!$A$2:$A$29,$A82,'1 · BBDD 2025 (insumo)'!$AU$2:$AU$29,1)&gt;0,1,0)</f>
        <v>0</v>
      </c>
      <c r="E82" s="10" t="n">
        <f aca="false">IF(COUNTIFS('1 · BBDD 2025 (insumo)'!$A$2:$A$29,$A82,'1 · BBDD 2025 (insumo)'!$AV$2:$AV$29,1)&gt;0,1,0)</f>
        <v>0</v>
      </c>
      <c r="F82" s="12" t="n">
        <f aca="false">SUM(B82:E82)</f>
        <v>0</v>
      </c>
    </row>
    <row r="83" customFormat="false" ht="15" hidden="false" customHeight="false" outlineLevel="0" collapsed="false">
      <c r="A83" s="17" t="s">
        <v>190</v>
      </c>
      <c r="B83" s="10" t="n">
        <f aca="false">IF(COUNTIFS('1 · BBDD 2025 (insumo)'!$A$2:$A$29,$A83,'1 · BBDD 2025 (insumo)'!$AS$2:$AS$29,1)&gt;0,1,0)</f>
        <v>0</v>
      </c>
      <c r="C83" s="10" t="n">
        <f aca="false">IF(COUNTIFS('1 · BBDD 2025 (insumo)'!$A$2:$A$29,$A83,'1 · BBDD 2025 (insumo)'!$AT$2:$AT$29,1)&gt;0,1,0)</f>
        <v>1</v>
      </c>
      <c r="D83" s="10" t="n">
        <f aca="false">IF(COUNTIFS('1 · BBDD 2025 (insumo)'!$A$2:$A$29,$A83,'1 · BBDD 2025 (insumo)'!$AU$2:$AU$29,1)&gt;0,1,0)</f>
        <v>0</v>
      </c>
      <c r="E83" s="10" t="n">
        <f aca="false">IF(COUNTIFS('1 · BBDD 2025 (insumo)'!$A$2:$A$29,$A83,'1 · BBDD 2025 (insumo)'!$AV$2:$AV$29,1)&gt;0,1,0)</f>
        <v>0</v>
      </c>
      <c r="F83" s="12" t="n">
        <f aca="false">SUM(B83:E83)</f>
        <v>1</v>
      </c>
    </row>
    <row r="84" customFormat="false" ht="15" hidden="false" customHeight="false" outlineLevel="0" collapsed="false">
      <c r="A84" s="17" t="s">
        <v>243</v>
      </c>
      <c r="B84" s="10" t="n">
        <f aca="false">IF(COUNTIFS('1 · BBDD 2025 (insumo)'!$A$2:$A$29,$A84,'1 · BBDD 2025 (insumo)'!$AS$2:$AS$29,1)&gt;0,1,0)</f>
        <v>0</v>
      </c>
      <c r="C84" s="10" t="n">
        <f aca="false">IF(COUNTIFS('1 · BBDD 2025 (insumo)'!$A$2:$A$29,$A84,'1 · BBDD 2025 (insumo)'!$AT$2:$AT$29,1)&gt;0,1,0)</f>
        <v>0</v>
      </c>
      <c r="D84" s="10" t="n">
        <f aca="false">IF(COUNTIFS('1 · BBDD 2025 (insumo)'!$A$2:$A$29,$A84,'1 · BBDD 2025 (insumo)'!$AU$2:$AU$29,1)&gt;0,1,0)</f>
        <v>0</v>
      </c>
      <c r="E84" s="10" t="n">
        <f aca="false">IF(COUNTIFS('1 · BBDD 2025 (insumo)'!$A$2:$A$29,$A84,'1 · BBDD 2025 (insumo)'!$AV$2:$AV$29,1)&gt;0,1,0)</f>
        <v>0</v>
      </c>
      <c r="F84" s="12" t="n">
        <f aca="false">SUM(B84:E84)</f>
        <v>0</v>
      </c>
    </row>
    <row r="85" customFormat="false" ht="15" hidden="false" customHeight="false" outlineLevel="0" collapsed="false">
      <c r="A85" s="17" t="s">
        <v>200</v>
      </c>
      <c r="B85" s="10" t="n">
        <f aca="false">IF(COUNTIFS('1 · BBDD 2025 (insumo)'!$A$2:$A$29,$A85,'1 · BBDD 2025 (insumo)'!$AS$2:$AS$29,1)&gt;0,1,0)</f>
        <v>0</v>
      </c>
      <c r="C85" s="10" t="n">
        <f aca="false">IF(COUNTIFS('1 · BBDD 2025 (insumo)'!$A$2:$A$29,$A85,'1 · BBDD 2025 (insumo)'!$AT$2:$AT$29,1)&gt;0,1,0)</f>
        <v>0</v>
      </c>
      <c r="D85" s="10" t="n">
        <f aca="false">IF(COUNTIFS('1 · BBDD 2025 (insumo)'!$A$2:$A$29,$A85,'1 · BBDD 2025 (insumo)'!$AU$2:$AU$29,1)&gt;0,1,0)</f>
        <v>0</v>
      </c>
      <c r="E85" s="10" t="n">
        <f aca="false">IF(COUNTIFS('1 · BBDD 2025 (insumo)'!$A$2:$A$29,$A85,'1 · BBDD 2025 (insumo)'!$AV$2:$AV$29,1)&gt;0,1,0)</f>
        <v>0</v>
      </c>
      <c r="F85" s="12" t="n">
        <f aca="false">SUM(B85:E85)</f>
        <v>0</v>
      </c>
    </row>
    <row r="86" customFormat="false" ht="15" hidden="false" customHeight="false" outlineLevel="0" collapsed="false">
      <c r="A86" s="17" t="s">
        <v>244</v>
      </c>
      <c r="B86" s="10" t="n">
        <f aca="false">IF(COUNTIFS('1 · BBDD 2025 (insumo)'!$A$2:$A$29,$A86,'1 · BBDD 2025 (insumo)'!$AS$2:$AS$29,1)&gt;0,1,0)</f>
        <v>0</v>
      </c>
      <c r="C86" s="10" t="n">
        <f aca="false">IF(COUNTIFS('1 · BBDD 2025 (insumo)'!$A$2:$A$29,$A86,'1 · BBDD 2025 (insumo)'!$AT$2:$AT$29,1)&gt;0,1,0)</f>
        <v>0</v>
      </c>
      <c r="D86" s="10" t="n">
        <f aca="false">IF(COUNTIFS('1 · BBDD 2025 (insumo)'!$A$2:$A$29,$A86,'1 · BBDD 2025 (insumo)'!$AU$2:$AU$29,1)&gt;0,1,0)</f>
        <v>0</v>
      </c>
      <c r="E86" s="10" t="n">
        <f aca="false">IF(COUNTIFS('1 · BBDD 2025 (insumo)'!$A$2:$A$29,$A86,'1 · BBDD 2025 (insumo)'!$AV$2:$AV$29,1)&gt;0,1,0)</f>
        <v>0</v>
      </c>
      <c r="F86" s="12" t="n">
        <f aca="false">SUM(B86:E86)</f>
        <v>0</v>
      </c>
    </row>
    <row r="87" customFormat="false" ht="15" hidden="false" customHeight="false" outlineLevel="0" collapsed="false">
      <c r="A87" s="17" t="s">
        <v>245</v>
      </c>
      <c r="B87" s="10" t="n">
        <f aca="false">IF(COUNTIFS('1 · BBDD 2025 (insumo)'!$A$2:$A$29,$A87,'1 · BBDD 2025 (insumo)'!$AS$2:$AS$29,1)&gt;0,1,0)</f>
        <v>0</v>
      </c>
      <c r="C87" s="10" t="n">
        <f aca="false">IF(COUNTIFS('1 · BBDD 2025 (insumo)'!$A$2:$A$29,$A87,'1 · BBDD 2025 (insumo)'!$AT$2:$AT$29,1)&gt;0,1,0)</f>
        <v>0</v>
      </c>
      <c r="D87" s="10" t="n">
        <f aca="false">IF(COUNTIFS('1 · BBDD 2025 (insumo)'!$A$2:$A$29,$A87,'1 · BBDD 2025 (insumo)'!$AU$2:$AU$29,1)&gt;0,1,0)</f>
        <v>0</v>
      </c>
      <c r="E87" s="10" t="n">
        <f aca="false">IF(COUNTIFS('1 · BBDD 2025 (insumo)'!$A$2:$A$29,$A87,'1 · BBDD 2025 (insumo)'!$AV$2:$AV$29,1)&gt;0,1,0)</f>
        <v>0</v>
      </c>
      <c r="F87" s="12" t="n">
        <f aca="false">SUM(B87:E87)</f>
        <v>0</v>
      </c>
    </row>
    <row r="88" customFormat="false" ht="15" hidden="false" customHeight="false" outlineLevel="0" collapsed="false">
      <c r="A88" s="17" t="s">
        <v>246</v>
      </c>
      <c r="B88" s="10" t="n">
        <f aca="false">IF(COUNTIFS('1 · BBDD 2025 (insumo)'!$A$2:$A$29,$A88,'1 · BBDD 2025 (insumo)'!$AS$2:$AS$29,1)&gt;0,1,0)</f>
        <v>0</v>
      </c>
      <c r="C88" s="10" t="n">
        <f aca="false">IF(COUNTIFS('1 · BBDD 2025 (insumo)'!$A$2:$A$29,$A88,'1 · BBDD 2025 (insumo)'!$AT$2:$AT$29,1)&gt;0,1,0)</f>
        <v>0</v>
      </c>
      <c r="D88" s="10" t="n">
        <f aca="false">IF(COUNTIFS('1 · BBDD 2025 (insumo)'!$A$2:$A$29,$A88,'1 · BBDD 2025 (insumo)'!$AU$2:$AU$29,1)&gt;0,1,0)</f>
        <v>0</v>
      </c>
      <c r="E88" s="10" t="n">
        <f aca="false">IF(COUNTIFS('1 · BBDD 2025 (insumo)'!$A$2:$A$29,$A88,'1 · BBDD 2025 (insumo)'!$AV$2:$AV$29,1)&gt;0,1,0)</f>
        <v>0</v>
      </c>
      <c r="F88" s="12" t="n">
        <f aca="false">SUM(B88:E88)</f>
        <v>0</v>
      </c>
    </row>
    <row r="89" customFormat="false" ht="15" hidden="false" customHeight="false" outlineLevel="0" collapsed="false">
      <c r="A89" s="17" t="s">
        <v>248</v>
      </c>
      <c r="B89" s="10" t="n">
        <f aca="false">IF(COUNTIFS('1 · BBDD 2025 (insumo)'!$A$2:$A$29,$A89,'1 · BBDD 2025 (insumo)'!$AS$2:$AS$29,1)&gt;0,1,0)</f>
        <v>0</v>
      </c>
      <c r="C89" s="10" t="n">
        <f aca="false">IF(COUNTIFS('1 · BBDD 2025 (insumo)'!$A$2:$A$29,$A89,'1 · BBDD 2025 (insumo)'!$AT$2:$AT$29,1)&gt;0,1,0)</f>
        <v>0</v>
      </c>
      <c r="D89" s="10" t="n">
        <f aca="false">IF(COUNTIFS('1 · BBDD 2025 (insumo)'!$A$2:$A$29,$A89,'1 · BBDD 2025 (insumo)'!$AU$2:$AU$29,1)&gt;0,1,0)</f>
        <v>0</v>
      </c>
      <c r="E89" s="10" t="n">
        <f aca="false">IF(COUNTIFS('1 · BBDD 2025 (insumo)'!$A$2:$A$29,$A89,'1 · BBDD 2025 (insumo)'!$AV$2:$AV$29,1)&gt;0,1,0)</f>
        <v>0</v>
      </c>
      <c r="F89" s="12" t="n">
        <f aca="false">SUM(B89:E89)</f>
        <v>0</v>
      </c>
    </row>
    <row r="90" customFormat="false" ht="15" hidden="false" customHeight="false" outlineLevel="0" collapsed="false">
      <c r="A90" s="17" t="s">
        <v>249</v>
      </c>
      <c r="B90" s="10" t="n">
        <f aca="false">IF(COUNTIFS('1 · BBDD 2025 (insumo)'!$A$2:$A$29,$A90,'1 · BBDD 2025 (insumo)'!$AS$2:$AS$29,1)&gt;0,1,0)</f>
        <v>0</v>
      </c>
      <c r="C90" s="10" t="n">
        <f aca="false">IF(COUNTIFS('1 · BBDD 2025 (insumo)'!$A$2:$A$29,$A90,'1 · BBDD 2025 (insumo)'!$AT$2:$AT$29,1)&gt;0,1,0)</f>
        <v>0</v>
      </c>
      <c r="D90" s="10" t="n">
        <f aca="false">IF(COUNTIFS('1 · BBDD 2025 (insumo)'!$A$2:$A$29,$A90,'1 · BBDD 2025 (insumo)'!$AU$2:$AU$29,1)&gt;0,1,0)</f>
        <v>0</v>
      </c>
      <c r="E90" s="10" t="n">
        <f aca="false">IF(COUNTIFS('1 · BBDD 2025 (insumo)'!$A$2:$A$29,$A90,'1 · BBDD 2025 (insumo)'!$AV$2:$AV$29,1)&gt;0,1,0)</f>
        <v>0</v>
      </c>
      <c r="F90" s="12" t="n">
        <f aca="false">SUM(B90:E90)</f>
        <v>0</v>
      </c>
    </row>
  </sheetData>
  <mergeCells count="2">
    <mergeCell ref="A35:N35"/>
    <mergeCell ref="A36:N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2" min="2" style="0" width="11"/>
  </cols>
  <sheetData>
    <row r="1" customFormat="false" ht="15" hidden="false" customHeight="false" outlineLevel="0" collapsed="false">
      <c r="A1" s="8" t="s">
        <v>328</v>
      </c>
    </row>
    <row r="2" customFormat="false" ht="15" hidden="false" customHeight="false" outlineLevel="0" collapsed="false">
      <c r="A2" s="7" t="s">
        <v>329</v>
      </c>
      <c r="B2" s="7"/>
      <c r="C2" s="7"/>
      <c r="D2" s="7"/>
      <c r="E2" s="7"/>
      <c r="F2" s="7"/>
      <c r="G2" s="7"/>
      <c r="H2" s="7"/>
      <c r="I2" s="7"/>
      <c r="J2" s="7"/>
      <c r="K2" s="7"/>
      <c r="L2" s="7"/>
    </row>
    <row r="3" customFormat="false" ht="15" hidden="false" customHeight="false" outlineLevel="0" collapsed="false">
      <c r="A3" s="7" t="s">
        <v>330</v>
      </c>
      <c r="B3" s="7"/>
      <c r="C3" s="7"/>
      <c r="D3" s="7"/>
      <c r="E3" s="7"/>
      <c r="F3" s="7"/>
      <c r="G3" s="7"/>
      <c r="H3" s="7"/>
      <c r="I3" s="7"/>
      <c r="J3" s="7"/>
      <c r="K3" s="7"/>
      <c r="L3" s="7"/>
    </row>
    <row r="5" customFormat="false" ht="57.75" hidden="false" customHeight="true" outlineLevel="0" collapsed="false">
      <c r="A5" s="1" t="s">
        <v>0</v>
      </c>
      <c r="B5" s="1" t="s">
        <v>331</v>
      </c>
      <c r="C5" s="1" t="s">
        <v>332</v>
      </c>
      <c r="D5" s="1" t="s">
        <v>333</v>
      </c>
      <c r="E5" s="1" t="s">
        <v>334</v>
      </c>
      <c r="F5" s="1" t="s">
        <v>335</v>
      </c>
      <c r="G5" s="1" t="s">
        <v>336</v>
      </c>
      <c r="H5" s="1" t="s">
        <v>337</v>
      </c>
      <c r="I5" s="1" t="s">
        <v>338</v>
      </c>
      <c r="J5" s="1" t="s">
        <v>339</v>
      </c>
      <c r="K5" s="1" t="s">
        <v>340</v>
      </c>
      <c r="L5" s="1" t="s">
        <v>341</v>
      </c>
      <c r="M5" s="1" t="s">
        <v>342</v>
      </c>
      <c r="N5" s="1" t="s">
        <v>343</v>
      </c>
      <c r="O5" s="1" t="s">
        <v>344</v>
      </c>
      <c r="P5" s="1" t="s">
        <v>345</v>
      </c>
      <c r="Q5" s="1" t="s">
        <v>346</v>
      </c>
      <c r="R5" s="1" t="s">
        <v>347</v>
      </c>
      <c r="S5" s="1" t="s">
        <v>348</v>
      </c>
      <c r="T5" s="1" t="s">
        <v>349</v>
      </c>
      <c r="U5" s="1" t="s">
        <v>350</v>
      </c>
      <c r="V5" s="1" t="s">
        <v>351</v>
      </c>
    </row>
    <row r="6" customFormat="false" ht="15" hidden="false" customHeight="false" outlineLevel="0" collapsed="false">
      <c r="A6" s="9" t="s">
        <v>240</v>
      </c>
      <c r="B6" s="12" t="n">
        <f aca="false">'2 · Cálculo 2025 · f. antigua'!T3</f>
        <v>0</v>
      </c>
      <c r="C6" s="12" t="n">
        <f aca="false">'3 · Cálculo 2025 · f. nueva'!T3</f>
        <v>0</v>
      </c>
      <c r="D6" s="21" t="n">
        <v>0</v>
      </c>
      <c r="E6" s="22" t="n">
        <f aca="false">C6-B6</f>
        <v>0</v>
      </c>
      <c r="F6" s="22" t="n">
        <f aca="false">D6-C6</f>
        <v>0</v>
      </c>
      <c r="G6" s="22" t="n">
        <f aca="false">D6-B6</f>
        <v>0</v>
      </c>
      <c r="H6" s="10" t="n">
        <f aca="false">'2 · Cálculo 2025 · f. antigua'!L3</f>
        <v>0</v>
      </c>
      <c r="I6" s="10" t="n">
        <f aca="false">'3 · Cálculo 2025 · f. nueva'!O3</f>
        <v>0</v>
      </c>
      <c r="J6" s="14" t="n">
        <v>0</v>
      </c>
      <c r="K6" s="10" t="n">
        <f aca="false">'2 · Cálculo 2025 · f. antigua'!S3</f>
        <v>0</v>
      </c>
      <c r="L6" s="14" t="n">
        <v>0</v>
      </c>
      <c r="M6" s="11" t="n">
        <f aca="false">'3 · Cálculo 2025 · f. nueva'!D3</f>
        <v>0</v>
      </c>
      <c r="N6" s="23" t="n">
        <v>0</v>
      </c>
      <c r="O6" s="11" t="n">
        <f aca="false">'3 · Cálculo 2025 · f. nueva'!F3</f>
        <v>0</v>
      </c>
      <c r="P6" s="23" t="n">
        <v>0</v>
      </c>
      <c r="Q6" s="11" t="n">
        <f aca="false">'3 · Cálculo 2025 · f. nueva'!H3</f>
        <v>0</v>
      </c>
      <c r="R6" s="23" t="n">
        <v>0</v>
      </c>
      <c r="S6" s="11" t="n">
        <f aca="false">'3 · Cálculo 2025 · f. nueva'!L3</f>
        <v>0</v>
      </c>
      <c r="T6" s="23" t="n">
        <v>0</v>
      </c>
      <c r="U6" s="11" t="n">
        <f aca="false">'3 · Cálculo 2025 · f. nueva'!M3</f>
        <v>0</v>
      </c>
      <c r="V6" s="23" t="n">
        <v>0</v>
      </c>
    </row>
    <row r="7" customFormat="false" ht="15" hidden="false" customHeight="false" outlineLevel="0" collapsed="false">
      <c r="A7" s="9" t="s">
        <v>51</v>
      </c>
      <c r="B7" s="12" t="n">
        <f aca="false">'2 · Cálculo 2025 · f. antigua'!T4</f>
        <v>31</v>
      </c>
      <c r="C7" s="12" t="n">
        <f aca="false">'3 · Cálculo 2025 · f. nueva'!T4</f>
        <v>32</v>
      </c>
      <c r="D7" s="21" t="n">
        <v>27</v>
      </c>
      <c r="E7" s="22" t="n">
        <f aca="false">C7-B7</f>
        <v>1</v>
      </c>
      <c r="F7" s="22" t="n">
        <f aca="false">D7-C7</f>
        <v>-5</v>
      </c>
      <c r="G7" s="22" t="n">
        <f aca="false">D7-B7</f>
        <v>-4</v>
      </c>
      <c r="H7" s="10" t="n">
        <f aca="false">'2 · Cálculo 2025 · f. antigua'!L4</f>
        <v>38</v>
      </c>
      <c r="I7" s="10" t="n">
        <f aca="false">'3 · Cálculo 2025 · f. nueva'!O4</f>
        <v>40</v>
      </c>
      <c r="J7" s="14" t="n">
        <v>40</v>
      </c>
      <c r="K7" s="10" t="n">
        <f aca="false">'2 · Cálculo 2025 · f. antigua'!S4</f>
        <v>23</v>
      </c>
      <c r="L7" s="14" t="n">
        <v>13</v>
      </c>
      <c r="M7" s="11" t="n">
        <f aca="false">'3 · Cálculo 2025 · f. nueva'!D4</f>
        <v>20</v>
      </c>
      <c r="N7" s="23" t="n">
        <v>20</v>
      </c>
      <c r="O7" s="11" t="n">
        <f aca="false">'3 · Cálculo 2025 · f. nueva'!F4</f>
        <v>50</v>
      </c>
      <c r="P7" s="23" t="n">
        <v>50</v>
      </c>
      <c r="Q7" s="11" t="n">
        <f aca="false">'3 · Cálculo 2025 · f. nueva'!H4</f>
        <v>66.6666666666667</v>
      </c>
      <c r="R7" s="23" t="n">
        <v>66.7</v>
      </c>
      <c r="S7" s="11" t="n">
        <f aca="false">'3 · Cálculo 2025 · f. nueva'!L4</f>
        <v>36.1111111111111</v>
      </c>
      <c r="T7" s="23" t="n">
        <v>36.1</v>
      </c>
      <c r="U7" s="11" t="n">
        <f aca="false">'3 · Cálculo 2025 · f. nueva'!M4</f>
        <v>25</v>
      </c>
      <c r="V7" s="23" t="n">
        <v>25</v>
      </c>
    </row>
    <row r="8" customFormat="false" ht="15" hidden="false" customHeight="false" outlineLevel="0" collapsed="false">
      <c r="A8" s="9" t="s">
        <v>63</v>
      </c>
      <c r="B8" s="12" t="n">
        <f aca="false">'2 · Cálculo 2025 · f. antigua'!T5</f>
        <v>77</v>
      </c>
      <c r="C8" s="12" t="n">
        <f aca="false">'3 · Cálculo 2025 · f. nueva'!T5</f>
        <v>75</v>
      </c>
      <c r="D8" s="21" t="n">
        <v>91</v>
      </c>
      <c r="E8" s="22" t="n">
        <f aca="false">C8-B8</f>
        <v>-2</v>
      </c>
      <c r="F8" s="22" t="n">
        <f aca="false">D8-C8</f>
        <v>16</v>
      </c>
      <c r="G8" s="22" t="n">
        <f aca="false">D8-B8</f>
        <v>14</v>
      </c>
      <c r="H8" s="10" t="n">
        <f aca="false">'2 · Cálculo 2025 · f. antigua'!L5</f>
        <v>53</v>
      </c>
      <c r="I8" s="10" t="n">
        <f aca="false">'3 · Cálculo 2025 · f. nueva'!O5</f>
        <v>50</v>
      </c>
      <c r="J8" s="14" t="n">
        <v>81</v>
      </c>
      <c r="K8" s="10" t="n">
        <f aca="false">'2 · Cálculo 2025 · f. antigua'!S5</f>
        <v>100</v>
      </c>
      <c r="L8" s="14" t="n">
        <v>100</v>
      </c>
      <c r="M8" s="11" t="n">
        <f aca="false">'3 · Cálculo 2025 · f. nueva'!D5</f>
        <v>20</v>
      </c>
      <c r="N8" s="23" t="n">
        <v>100</v>
      </c>
      <c r="O8" s="11" t="n">
        <f aca="false">'3 · Cálculo 2025 · f. nueva'!F5</f>
        <v>75</v>
      </c>
      <c r="P8" s="23" t="n">
        <v>75</v>
      </c>
      <c r="Q8" s="11" t="n">
        <f aca="false">'3 · Cálculo 2025 · f. nueva'!H5</f>
        <v>66.6666666666667</v>
      </c>
      <c r="R8" s="23" t="n">
        <v>100</v>
      </c>
      <c r="S8" s="11" t="n">
        <f aca="false">'3 · Cálculo 2025 · f. nueva'!L5</f>
        <v>38.8888888888889</v>
      </c>
      <c r="T8" s="23" t="n">
        <v>55.6</v>
      </c>
      <c r="U8" s="11" t="n">
        <f aca="false">'3 · Cálculo 2025 · f. nueva'!M5</f>
        <v>50</v>
      </c>
      <c r="V8" s="23" t="n">
        <v>75</v>
      </c>
    </row>
    <row r="9" customFormat="false" ht="15" hidden="false" customHeight="false" outlineLevel="0" collapsed="false">
      <c r="A9" s="9" t="s">
        <v>96</v>
      </c>
      <c r="B9" s="12" t="n">
        <f aca="false">'2 · Cálculo 2025 · f. antigua'!T6</f>
        <v>57</v>
      </c>
      <c r="C9" s="12" t="n">
        <f aca="false">'3 · Cálculo 2025 · f. nueva'!T6</f>
        <v>57</v>
      </c>
      <c r="D9" s="21" t="n">
        <v>73</v>
      </c>
      <c r="E9" s="22" t="n">
        <f aca="false">C9-B9</f>
        <v>0</v>
      </c>
      <c r="F9" s="22" t="n">
        <f aca="false">D9-C9</f>
        <v>16</v>
      </c>
      <c r="G9" s="22" t="n">
        <f aca="false">D9-B9</f>
        <v>16</v>
      </c>
      <c r="H9" s="10" t="n">
        <f aca="false">'2 · Cálculo 2025 · f. antigua'!L6</f>
        <v>55</v>
      </c>
      <c r="I9" s="10" t="n">
        <f aca="false">'3 · Cálculo 2025 · f. nueva'!O6</f>
        <v>55</v>
      </c>
      <c r="J9" s="14" t="n">
        <v>69</v>
      </c>
      <c r="K9" s="10" t="n">
        <f aca="false">'2 · Cálculo 2025 · f. antigua'!S6</f>
        <v>59</v>
      </c>
      <c r="L9" s="14" t="n">
        <v>77</v>
      </c>
      <c r="M9" s="11" t="n">
        <f aca="false">'3 · Cálculo 2025 · f. nueva'!D6</f>
        <v>20</v>
      </c>
      <c r="N9" s="23" t="n">
        <v>60</v>
      </c>
      <c r="O9" s="11" t="n">
        <f aca="false">'3 · Cálculo 2025 · f. nueva'!F6</f>
        <v>50</v>
      </c>
      <c r="P9" s="23" t="n">
        <v>75</v>
      </c>
      <c r="Q9" s="11" t="n">
        <f aca="false">'3 · Cálculo 2025 · f. nueva'!H6</f>
        <v>66.6666666666667</v>
      </c>
      <c r="R9" s="23" t="n">
        <v>66.7</v>
      </c>
      <c r="S9" s="11" t="n">
        <f aca="false">'3 · Cálculo 2025 · f. nueva'!L6</f>
        <v>63.8888888888889</v>
      </c>
      <c r="T9" s="23" t="n">
        <v>69.4</v>
      </c>
      <c r="U9" s="11" t="n">
        <f aca="false">'3 · Cálculo 2025 · f. nueva'!M6</f>
        <v>75</v>
      </c>
      <c r="V9" s="23" t="n">
        <v>75</v>
      </c>
    </row>
    <row r="10" customFormat="false" ht="15" hidden="false" customHeight="false" outlineLevel="0" collapsed="false">
      <c r="A10" s="9" t="s">
        <v>128</v>
      </c>
      <c r="B10" s="12" t="n">
        <f aca="false">'2 · Cálculo 2025 · f. antigua'!T7</f>
        <v>85</v>
      </c>
      <c r="C10" s="12" t="n">
        <f aca="false">'3 · Cálculo 2025 · f. nueva'!T7</f>
        <v>82</v>
      </c>
      <c r="D10" s="21" t="n">
        <v>53</v>
      </c>
      <c r="E10" s="22" t="n">
        <f aca="false">C10-B10</f>
        <v>-3</v>
      </c>
      <c r="F10" s="22" t="n">
        <f aca="false">D10-C10</f>
        <v>-29</v>
      </c>
      <c r="G10" s="22" t="n">
        <f aca="false">D10-B10</f>
        <v>-32</v>
      </c>
      <c r="H10" s="10" t="n">
        <f aca="false">'2 · Cálculo 2025 · f. antigua'!L7</f>
        <v>69</v>
      </c>
      <c r="I10" s="10" t="n">
        <f aca="false">'3 · Cálculo 2025 · f. nueva'!O7</f>
        <v>63</v>
      </c>
      <c r="J10" s="14" t="n">
        <v>56</v>
      </c>
      <c r="K10" s="10" t="n">
        <f aca="false">'2 · Cálculo 2025 · f. antigua'!S7</f>
        <v>100</v>
      </c>
      <c r="L10" s="14" t="n">
        <v>50</v>
      </c>
      <c r="M10" s="11" t="n">
        <f aca="false">'3 · Cálculo 2025 · f. nueva'!D7</f>
        <v>60</v>
      </c>
      <c r="N10" s="23" t="n">
        <v>60</v>
      </c>
      <c r="O10" s="11" t="n">
        <f aca="false">'3 · Cálculo 2025 · f. nueva'!F7</f>
        <v>50</v>
      </c>
      <c r="P10" s="23" t="n">
        <v>50</v>
      </c>
      <c r="Q10" s="11" t="n">
        <f aca="false">'3 · Cálculo 2025 · f. nueva'!H7</f>
        <v>66.6666666666667</v>
      </c>
      <c r="R10" s="23" t="n">
        <v>66.7</v>
      </c>
      <c r="S10" s="11" t="n">
        <f aca="false">'3 · Cálculo 2025 · f. nueva'!L7</f>
        <v>88.8888888888889</v>
      </c>
      <c r="T10" s="23" t="n">
        <v>77.8</v>
      </c>
      <c r="U10" s="11" t="n">
        <f aca="false">'3 · Cálculo 2025 · f. nueva'!M7</f>
        <v>50</v>
      </c>
      <c r="V10" s="23" t="n">
        <v>25</v>
      </c>
    </row>
    <row r="11" customFormat="false" ht="15" hidden="false" customHeight="false" outlineLevel="0" collapsed="false">
      <c r="A11" s="9" t="s">
        <v>151</v>
      </c>
      <c r="B11" s="12" t="n">
        <f aca="false">'2 · Cálculo 2025 · f. antigua'!T8</f>
        <v>46</v>
      </c>
      <c r="C11" s="12" t="n">
        <f aca="false">'3 · Cálculo 2025 · f. nueva'!T8</f>
        <v>45</v>
      </c>
      <c r="D11" s="21" t="n">
        <v>0</v>
      </c>
      <c r="E11" s="22" t="n">
        <f aca="false">C11-B11</f>
        <v>-1</v>
      </c>
      <c r="F11" s="22" t="n">
        <f aca="false">D11-C11</f>
        <v>-45</v>
      </c>
      <c r="G11" s="22" t="n">
        <f aca="false">D11-B11</f>
        <v>-46</v>
      </c>
      <c r="H11" s="10" t="n">
        <f aca="false">'2 · Cálculo 2025 · f. antigua'!L8</f>
        <v>38</v>
      </c>
      <c r="I11" s="10" t="n">
        <f aca="false">'3 · Cálculo 2025 · f. nueva'!O8</f>
        <v>36</v>
      </c>
      <c r="J11" s="14" t="n">
        <v>0</v>
      </c>
      <c r="K11" s="10" t="n">
        <f aca="false">'2 · Cálculo 2025 · f. antigua'!S8</f>
        <v>53</v>
      </c>
      <c r="L11" s="14" t="n">
        <v>0</v>
      </c>
      <c r="M11" s="11" t="n">
        <f aca="false">'3 · Cálculo 2025 · f. nueva'!D8</f>
        <v>20</v>
      </c>
      <c r="N11" s="23" t="n">
        <v>0</v>
      </c>
      <c r="O11" s="11" t="n">
        <f aca="false">'3 · Cálculo 2025 · f. nueva'!F8</f>
        <v>50</v>
      </c>
      <c r="P11" s="23" t="n">
        <v>0</v>
      </c>
      <c r="Q11" s="11" t="n">
        <f aca="false">'3 · Cálculo 2025 · f. nueva'!H8</f>
        <v>66.6666666666667</v>
      </c>
      <c r="R11" s="23" t="n">
        <v>0</v>
      </c>
      <c r="S11" s="11" t="n">
        <f aca="false">'3 · Cálculo 2025 · f. nueva'!L8</f>
        <v>19.4444444444444</v>
      </c>
      <c r="T11" s="23" t="n">
        <v>0</v>
      </c>
      <c r="U11" s="11" t="n">
        <f aca="false">'3 · Cálculo 2025 · f. nueva'!M8</f>
        <v>25</v>
      </c>
      <c r="V11" s="23" t="n">
        <v>0</v>
      </c>
    </row>
    <row r="12" customFormat="false" ht="15" hidden="false" customHeight="false" outlineLevel="0" collapsed="false">
      <c r="A12" s="9" t="s">
        <v>241</v>
      </c>
      <c r="B12" s="12" t="n">
        <f aca="false">'2 · Cálculo 2025 · f. antigua'!T9</f>
        <v>0</v>
      </c>
      <c r="C12" s="12" t="n">
        <f aca="false">'3 · Cálculo 2025 · f. nueva'!T9</f>
        <v>0</v>
      </c>
      <c r="D12" s="21" t="n">
        <v>33</v>
      </c>
      <c r="E12" s="22" t="n">
        <f aca="false">C12-B12</f>
        <v>0</v>
      </c>
      <c r="F12" s="22" t="n">
        <f aca="false">D12-C12</f>
        <v>33</v>
      </c>
      <c r="G12" s="22" t="n">
        <f aca="false">D12-B12</f>
        <v>33</v>
      </c>
      <c r="H12" s="10" t="n">
        <f aca="false">'2 · Cálculo 2025 · f. antigua'!L9</f>
        <v>0</v>
      </c>
      <c r="I12" s="10" t="n">
        <f aca="false">'3 · Cálculo 2025 · f. nueva'!O9</f>
        <v>0</v>
      </c>
      <c r="J12" s="14" t="n">
        <v>34</v>
      </c>
      <c r="K12" s="10" t="n">
        <f aca="false">'2 · Cálculo 2025 · f. antigua'!S9</f>
        <v>0</v>
      </c>
      <c r="L12" s="14" t="n">
        <v>31</v>
      </c>
      <c r="M12" s="11" t="n">
        <f aca="false">'3 · Cálculo 2025 · f. nueva'!D9</f>
        <v>0</v>
      </c>
      <c r="N12" s="23" t="n">
        <v>40</v>
      </c>
      <c r="O12" s="11" t="n">
        <f aca="false">'3 · Cálculo 2025 · f. nueva'!F9</f>
        <v>0</v>
      </c>
      <c r="P12" s="23" t="n">
        <v>25</v>
      </c>
      <c r="Q12" s="11" t="n">
        <f aca="false">'3 · Cálculo 2025 · f. nueva'!H9</f>
        <v>0</v>
      </c>
      <c r="R12" s="23" t="n">
        <v>66.7</v>
      </c>
      <c r="S12" s="11" t="n">
        <f aca="false">'3 · Cálculo 2025 · f. nueva'!L9</f>
        <v>0</v>
      </c>
      <c r="T12" s="23" t="n">
        <v>11.1</v>
      </c>
      <c r="U12" s="11" t="n">
        <f aca="false">'3 · Cálculo 2025 · f. nueva'!M9</f>
        <v>0</v>
      </c>
      <c r="V12" s="23" t="n">
        <v>25</v>
      </c>
    </row>
    <row r="13" customFormat="false" ht="15" hidden="false" customHeight="false" outlineLevel="0" collapsed="false">
      <c r="A13" s="9" t="s">
        <v>163</v>
      </c>
      <c r="B13" s="12" t="n">
        <f aca="false">'2 · Cálculo 2025 · f. antigua'!T10</f>
        <v>30</v>
      </c>
      <c r="C13" s="12" t="n">
        <f aca="false">'3 · Cálculo 2025 · f. nueva'!T10</f>
        <v>32</v>
      </c>
      <c r="D13" s="21" t="n">
        <v>0</v>
      </c>
      <c r="E13" s="22" t="n">
        <f aca="false">C13-B13</f>
        <v>2</v>
      </c>
      <c r="F13" s="22" t="n">
        <f aca="false">D13-C13</f>
        <v>-32</v>
      </c>
      <c r="G13" s="22" t="n">
        <f aca="false">D13-B13</f>
        <v>-30</v>
      </c>
      <c r="H13" s="10" t="n">
        <f aca="false">'2 · Cálculo 2025 · f. antigua'!L10</f>
        <v>32</v>
      </c>
      <c r="I13" s="10" t="n">
        <f aca="false">'3 · Cálculo 2025 · f. nueva'!O10</f>
        <v>36</v>
      </c>
      <c r="J13" s="14" t="n">
        <v>0</v>
      </c>
      <c r="K13" s="10" t="n">
        <f aca="false">'2 · Cálculo 2025 · f. antigua'!S10</f>
        <v>28</v>
      </c>
      <c r="L13" s="14" t="n">
        <v>0</v>
      </c>
      <c r="M13" s="11" t="n">
        <f aca="false">'3 · Cálculo 2025 · f. nueva'!D10</f>
        <v>20</v>
      </c>
      <c r="N13" s="23" t="n">
        <v>0</v>
      </c>
      <c r="O13" s="11" t="n">
        <f aca="false">'3 · Cálculo 2025 · f. nueva'!F10</f>
        <v>25</v>
      </c>
      <c r="P13" s="23" t="n">
        <v>0</v>
      </c>
      <c r="Q13" s="11" t="n">
        <f aca="false">'3 · Cálculo 2025 · f. nueva'!H10</f>
        <v>66.6666666666667</v>
      </c>
      <c r="R13" s="23" t="n">
        <v>0</v>
      </c>
      <c r="S13" s="11" t="n">
        <f aca="false">'3 · Cálculo 2025 · f. nueva'!L10</f>
        <v>44.4444444444444</v>
      </c>
      <c r="T13" s="23" t="n">
        <v>0</v>
      </c>
      <c r="U13" s="11" t="n">
        <f aca="false">'3 · Cálculo 2025 · f. nueva'!M10</f>
        <v>25</v>
      </c>
      <c r="V13" s="23" t="n">
        <v>0</v>
      </c>
    </row>
    <row r="14" customFormat="false" ht="15" hidden="false" customHeight="false" outlineLevel="0" collapsed="false">
      <c r="A14" s="9" t="s">
        <v>170</v>
      </c>
      <c r="B14" s="12" t="n">
        <f aca="false">'2 · Cálculo 2025 · f. antigua'!T11</f>
        <v>25</v>
      </c>
      <c r="C14" s="12" t="n">
        <f aca="false">'3 · Cálculo 2025 · f. nueva'!T11</f>
        <v>27</v>
      </c>
      <c r="D14" s="21" t="n">
        <v>23</v>
      </c>
      <c r="E14" s="22" t="n">
        <f aca="false">C14-B14</f>
        <v>2</v>
      </c>
      <c r="F14" s="22" t="n">
        <f aca="false">D14-C14</f>
        <v>-4</v>
      </c>
      <c r="G14" s="22" t="n">
        <f aca="false">D14-B14</f>
        <v>-2</v>
      </c>
      <c r="H14" s="10" t="n">
        <f aca="false">'2 · Cálculo 2025 · f. antigua'!L11</f>
        <v>32</v>
      </c>
      <c r="I14" s="10" t="n">
        <f aca="false">'3 · Cálculo 2025 · f. nueva'!O11</f>
        <v>35</v>
      </c>
      <c r="J14" s="14" t="n">
        <v>35</v>
      </c>
      <c r="K14" s="10" t="n">
        <f aca="false">'2 · Cálculo 2025 · f. antigua'!S11</f>
        <v>18</v>
      </c>
      <c r="L14" s="14" t="n">
        <v>11</v>
      </c>
      <c r="M14" s="11" t="n">
        <f aca="false">'3 · Cálculo 2025 · f. nueva'!D11</f>
        <v>20</v>
      </c>
      <c r="N14" s="23" t="n">
        <v>20</v>
      </c>
      <c r="O14" s="11" t="n">
        <f aca="false">'3 · Cálculo 2025 · f. nueva'!F11</f>
        <v>25</v>
      </c>
      <c r="P14" s="23" t="n">
        <v>25</v>
      </c>
      <c r="Q14" s="11" t="n">
        <f aca="false">'3 · Cálculo 2025 · f. nueva'!H11</f>
        <v>66.6666666666667</v>
      </c>
      <c r="R14" s="23" t="n">
        <v>66.7</v>
      </c>
      <c r="S14" s="11" t="n">
        <f aca="false">'3 · Cálculo 2025 · f. nueva'!L11</f>
        <v>36.1111111111111</v>
      </c>
      <c r="T14" s="23" t="n">
        <v>36.1</v>
      </c>
      <c r="U14" s="11" t="n">
        <f aca="false">'3 · Cálculo 2025 · f. nueva'!M11</f>
        <v>25</v>
      </c>
      <c r="V14" s="23" t="n">
        <v>25</v>
      </c>
    </row>
    <row r="15" customFormat="false" ht="15" hidden="false" customHeight="false" outlineLevel="0" collapsed="false">
      <c r="A15" s="9" t="s">
        <v>177</v>
      </c>
      <c r="B15" s="12" t="n">
        <f aca="false">'2 · Cálculo 2025 · f. antigua'!T12</f>
        <v>33</v>
      </c>
      <c r="C15" s="12" t="n">
        <f aca="false">'3 · Cálculo 2025 · f. nueva'!T12</f>
        <v>34</v>
      </c>
      <c r="D15" s="21" t="n">
        <v>28</v>
      </c>
      <c r="E15" s="22" t="n">
        <f aca="false">C15-B15</f>
        <v>1</v>
      </c>
      <c r="F15" s="22" t="n">
        <f aca="false">D15-C15</f>
        <v>-6</v>
      </c>
      <c r="G15" s="22" t="n">
        <f aca="false">D15-B15</f>
        <v>-5</v>
      </c>
      <c r="H15" s="10" t="n">
        <f aca="false">'2 · Cálculo 2025 · f. antigua'!L12</f>
        <v>32</v>
      </c>
      <c r="I15" s="10" t="n">
        <f aca="false">'3 · Cálculo 2025 · f. nueva'!O12</f>
        <v>34</v>
      </c>
      <c r="J15" s="14" t="n">
        <v>39</v>
      </c>
      <c r="K15" s="10" t="n">
        <f aca="false">'2 · Cálculo 2025 · f. antigua'!S12</f>
        <v>33</v>
      </c>
      <c r="L15" s="14" t="n">
        <v>17</v>
      </c>
      <c r="M15" s="11" t="n">
        <f aca="false">'3 · Cálculo 2025 · f. nueva'!D12</f>
        <v>20</v>
      </c>
      <c r="N15" s="23" t="n">
        <v>20</v>
      </c>
      <c r="O15" s="11" t="n">
        <f aca="false">'3 · Cálculo 2025 · f. nueva'!F12</f>
        <v>25</v>
      </c>
      <c r="P15" s="23" t="n">
        <v>50</v>
      </c>
      <c r="Q15" s="11" t="n">
        <f aca="false">'3 · Cálculo 2025 · f. nueva'!H12</f>
        <v>66.6666666666667</v>
      </c>
      <c r="R15" s="23" t="n">
        <v>66.7</v>
      </c>
      <c r="S15" s="11" t="n">
        <f aca="false">'3 · Cálculo 2025 · f. nueva'!L12</f>
        <v>33.3333333333333</v>
      </c>
      <c r="T15" s="23" t="n">
        <v>33.3</v>
      </c>
      <c r="U15" s="11" t="n">
        <f aca="false">'3 · Cálculo 2025 · f. nueva'!M12</f>
        <v>25</v>
      </c>
      <c r="V15" s="23" t="n">
        <v>25</v>
      </c>
    </row>
    <row r="16" customFormat="false" ht="15" hidden="false" customHeight="false" outlineLevel="0" collapsed="false">
      <c r="A16" s="9" t="s">
        <v>183</v>
      </c>
      <c r="B16" s="12" t="n">
        <f aca="false">'2 · Cálculo 2025 · f. antigua'!T13</f>
        <v>42</v>
      </c>
      <c r="C16" s="12" t="n">
        <f aca="false">'3 · Cálculo 2025 · f. nueva'!T13</f>
        <v>43</v>
      </c>
      <c r="D16" s="21" t="n">
        <v>0</v>
      </c>
      <c r="E16" s="22" t="n">
        <f aca="false">C16-B16</f>
        <v>1</v>
      </c>
      <c r="F16" s="22" t="n">
        <f aca="false">D16-C16</f>
        <v>-43</v>
      </c>
      <c r="G16" s="22" t="n">
        <f aca="false">D16-B16</f>
        <v>-42</v>
      </c>
      <c r="H16" s="10" t="n">
        <f aca="false">'2 · Cálculo 2025 · f. antigua'!L13</f>
        <v>32</v>
      </c>
      <c r="I16" s="10" t="n">
        <f aca="false">'3 · Cálculo 2025 · f. nueva'!O13</f>
        <v>34</v>
      </c>
      <c r="J16" s="14" t="n">
        <v>0</v>
      </c>
      <c r="K16" s="10" t="n">
        <f aca="false">'2 · Cálculo 2025 · f. antigua'!S13</f>
        <v>52</v>
      </c>
      <c r="L16" s="14" t="n">
        <v>0</v>
      </c>
      <c r="M16" s="11" t="n">
        <f aca="false">'3 · Cálculo 2025 · f. nueva'!D13</f>
        <v>20</v>
      </c>
      <c r="N16" s="23" t="n">
        <v>0</v>
      </c>
      <c r="O16" s="11" t="n">
        <f aca="false">'3 · Cálculo 2025 · f. nueva'!F13</f>
        <v>25</v>
      </c>
      <c r="P16" s="23" t="n">
        <v>0</v>
      </c>
      <c r="Q16" s="11" t="n">
        <f aca="false">'3 · Cálculo 2025 · f. nueva'!H13</f>
        <v>66.6666666666667</v>
      </c>
      <c r="R16" s="23" t="n">
        <v>0</v>
      </c>
      <c r="S16" s="11" t="n">
        <f aca="false">'3 · Cálculo 2025 · f. nueva'!L13</f>
        <v>33.3333333333333</v>
      </c>
      <c r="T16" s="23" t="n">
        <v>0</v>
      </c>
      <c r="U16" s="11" t="n">
        <f aca="false">'3 · Cálculo 2025 · f. nueva'!M13</f>
        <v>25</v>
      </c>
      <c r="V16" s="23" t="n">
        <v>0</v>
      </c>
    </row>
    <row r="17" customFormat="false" ht="15" hidden="false" customHeight="false" outlineLevel="0" collapsed="false">
      <c r="A17" s="9" t="s">
        <v>242</v>
      </c>
      <c r="B17" s="12" t="n">
        <f aca="false">'2 · Cálculo 2025 · f. antigua'!T14</f>
        <v>0</v>
      </c>
      <c r="C17" s="12" t="n">
        <f aca="false">'3 · Cálculo 2025 · f. nueva'!T14</f>
        <v>0</v>
      </c>
      <c r="D17" s="21" t="n">
        <v>0</v>
      </c>
      <c r="E17" s="22" t="n">
        <f aca="false">C17-B17</f>
        <v>0</v>
      </c>
      <c r="F17" s="22" t="n">
        <f aca="false">D17-C17</f>
        <v>0</v>
      </c>
      <c r="G17" s="22" t="n">
        <f aca="false">D17-B17</f>
        <v>0</v>
      </c>
      <c r="H17" s="10" t="n">
        <f aca="false">'2 · Cálculo 2025 · f. antigua'!L14</f>
        <v>0</v>
      </c>
      <c r="I17" s="10" t="n">
        <f aca="false">'3 · Cálculo 2025 · f. nueva'!O14</f>
        <v>0</v>
      </c>
      <c r="J17" s="14" t="n">
        <v>0</v>
      </c>
      <c r="K17" s="10" t="n">
        <f aca="false">'2 · Cálculo 2025 · f. antigua'!S14</f>
        <v>0</v>
      </c>
      <c r="L17" s="14" t="n">
        <v>0</v>
      </c>
      <c r="M17" s="11" t="n">
        <f aca="false">'3 · Cálculo 2025 · f. nueva'!D14</f>
        <v>0</v>
      </c>
      <c r="N17" s="23" t="n">
        <v>0</v>
      </c>
      <c r="O17" s="11" t="n">
        <f aca="false">'3 · Cálculo 2025 · f. nueva'!F14</f>
        <v>0</v>
      </c>
      <c r="P17" s="23" t="n">
        <v>0</v>
      </c>
      <c r="Q17" s="11" t="n">
        <f aca="false">'3 · Cálculo 2025 · f. nueva'!H14</f>
        <v>0</v>
      </c>
      <c r="R17" s="23" t="n">
        <v>0</v>
      </c>
      <c r="S17" s="11" t="n">
        <f aca="false">'3 · Cálculo 2025 · f. nueva'!L14</f>
        <v>0</v>
      </c>
      <c r="T17" s="23" t="n">
        <v>0</v>
      </c>
      <c r="U17" s="11" t="n">
        <f aca="false">'3 · Cálculo 2025 · f. nueva'!M14</f>
        <v>0</v>
      </c>
      <c r="V17" s="23" t="n">
        <v>0</v>
      </c>
    </row>
    <row r="18" customFormat="false" ht="15" hidden="false" customHeight="false" outlineLevel="0" collapsed="false">
      <c r="A18" s="9" t="s">
        <v>190</v>
      </c>
      <c r="B18" s="12" t="n">
        <f aca="false">'2 · Cálculo 2025 · f. antigua'!T15</f>
        <v>48</v>
      </c>
      <c r="C18" s="12" t="n">
        <f aca="false">'3 · Cálculo 2025 · f. nueva'!T15</f>
        <v>36</v>
      </c>
      <c r="D18" s="21" t="n">
        <v>23</v>
      </c>
      <c r="E18" s="22" t="n">
        <f aca="false">C18-B18</f>
        <v>-12</v>
      </c>
      <c r="F18" s="22" t="n">
        <f aca="false">D18-C18</f>
        <v>-13</v>
      </c>
      <c r="G18" s="22" t="n">
        <f aca="false">D18-B18</f>
        <v>-25</v>
      </c>
      <c r="H18" s="10" t="n">
        <f aca="false">'2 · Cálculo 2025 · f. antigua'!L15</f>
        <v>58</v>
      </c>
      <c r="I18" s="10" t="n">
        <f aca="false">'3 · Cálculo 2025 · f. nueva'!O15</f>
        <v>35</v>
      </c>
      <c r="J18" s="14" t="n">
        <v>30</v>
      </c>
      <c r="K18" s="10" t="n">
        <f aca="false">'2 · Cálculo 2025 · f. antigua'!S15</f>
        <v>37</v>
      </c>
      <c r="L18" s="14" t="n">
        <v>15</v>
      </c>
      <c r="M18" s="11" t="n">
        <f aca="false">'3 · Cálculo 2025 · f. nueva'!D15</f>
        <v>40</v>
      </c>
      <c r="N18" s="23" t="n">
        <v>20</v>
      </c>
      <c r="O18" s="11" t="n">
        <f aca="false">'3 · Cálculo 2025 · f. nueva'!F15</f>
        <v>25</v>
      </c>
      <c r="P18" s="23" t="n">
        <v>25</v>
      </c>
      <c r="Q18" s="11" t="n">
        <f aca="false">'3 · Cálculo 2025 · f. nueva'!H15</f>
        <v>66.6666666666667</v>
      </c>
      <c r="R18" s="23" t="n">
        <v>66.7</v>
      </c>
      <c r="S18" s="11" t="n">
        <f aca="false">'3 · Cálculo 2025 · f. nueva'!L15</f>
        <v>19.4444444444444</v>
      </c>
      <c r="T18" s="23" t="n">
        <v>11.1</v>
      </c>
      <c r="U18" s="11" t="n">
        <f aca="false">'3 · Cálculo 2025 · f. nueva'!M15</f>
        <v>25</v>
      </c>
      <c r="V18" s="23" t="n">
        <v>25</v>
      </c>
    </row>
    <row r="19" customFormat="false" ht="15" hidden="false" customHeight="false" outlineLevel="0" collapsed="false">
      <c r="A19" s="9" t="s">
        <v>243</v>
      </c>
      <c r="B19" s="12" t="n">
        <f aca="false">'2 · Cálculo 2025 · f. antigua'!T16</f>
        <v>0</v>
      </c>
      <c r="C19" s="12" t="n">
        <f aca="false">'3 · Cálculo 2025 · f. nueva'!T16</f>
        <v>0</v>
      </c>
      <c r="D19" s="21" t="n">
        <v>21</v>
      </c>
      <c r="E19" s="22" t="n">
        <f aca="false">C19-B19</f>
        <v>0</v>
      </c>
      <c r="F19" s="22" t="n">
        <f aca="false">D19-C19</f>
        <v>21</v>
      </c>
      <c r="G19" s="22" t="n">
        <f aca="false">D19-B19</f>
        <v>21</v>
      </c>
      <c r="H19" s="10" t="n">
        <f aca="false">'2 · Cálculo 2025 · f. antigua'!L16</f>
        <v>0</v>
      </c>
      <c r="I19" s="10" t="n">
        <f aca="false">'3 · Cálculo 2025 · f. nueva'!O16</f>
        <v>0</v>
      </c>
      <c r="J19" s="14" t="n">
        <v>35</v>
      </c>
      <c r="K19" s="10" t="n">
        <f aca="false">'2 · Cálculo 2025 · f. antigua'!S16</f>
        <v>0</v>
      </c>
      <c r="L19" s="14" t="n">
        <v>6</v>
      </c>
      <c r="M19" s="11" t="n">
        <f aca="false">'3 · Cálculo 2025 · f. nueva'!D16</f>
        <v>0</v>
      </c>
      <c r="N19" s="23" t="n">
        <v>20</v>
      </c>
      <c r="O19" s="11" t="n">
        <f aca="false">'3 · Cálculo 2025 · f. nueva'!F16</f>
        <v>0</v>
      </c>
      <c r="P19" s="23" t="n">
        <v>25</v>
      </c>
      <c r="Q19" s="11" t="n">
        <f aca="false">'3 · Cálculo 2025 · f. nueva'!H16</f>
        <v>0</v>
      </c>
      <c r="R19" s="23" t="n">
        <v>66.7</v>
      </c>
      <c r="S19" s="11" t="n">
        <f aca="false">'3 · Cálculo 2025 · f. nueva'!L16</f>
        <v>0</v>
      </c>
      <c r="T19" s="23" t="n">
        <v>36.1</v>
      </c>
      <c r="U19" s="11" t="n">
        <f aca="false">'3 · Cálculo 2025 · f. nueva'!M16</f>
        <v>0</v>
      </c>
      <c r="V19" s="23" t="n">
        <v>25</v>
      </c>
    </row>
    <row r="20" customFormat="false" ht="15" hidden="false" customHeight="false" outlineLevel="0" collapsed="false">
      <c r="A20" s="9" t="s">
        <v>200</v>
      </c>
      <c r="B20" s="12" t="n">
        <f aca="false">'2 · Cálculo 2025 · f. antigua'!T17</f>
        <v>54</v>
      </c>
      <c r="C20" s="12" t="n">
        <f aca="false">'3 · Cálculo 2025 · f. nueva'!T17</f>
        <v>46</v>
      </c>
      <c r="D20" s="21" t="n">
        <v>24</v>
      </c>
      <c r="E20" s="22" t="n">
        <f aca="false">C20-B20</f>
        <v>-8</v>
      </c>
      <c r="F20" s="22" t="n">
        <f aca="false">D20-C20</f>
        <v>-22</v>
      </c>
      <c r="G20" s="22" t="n">
        <f aca="false">D20-B20</f>
        <v>-30</v>
      </c>
      <c r="H20" s="10" t="n">
        <f aca="false">'2 · Cálculo 2025 · f. antigua'!L17</f>
        <v>56</v>
      </c>
      <c r="I20" s="10" t="n">
        <f aca="false">'3 · Cálculo 2025 · f. nueva'!O17</f>
        <v>41</v>
      </c>
      <c r="J20" s="14" t="n">
        <v>30</v>
      </c>
      <c r="K20" s="10" t="n">
        <f aca="false">'2 · Cálculo 2025 · f. antigua'!S17</f>
        <v>51</v>
      </c>
      <c r="L20" s="14" t="n">
        <v>17</v>
      </c>
      <c r="M20" s="11" t="n">
        <f aca="false">'3 · Cálculo 2025 · f. nueva'!D17</f>
        <v>40</v>
      </c>
      <c r="N20" s="23" t="n">
        <v>20</v>
      </c>
      <c r="O20" s="11" t="n">
        <f aca="false">'3 · Cálculo 2025 · f. nueva'!F17</f>
        <v>50</v>
      </c>
      <c r="P20" s="23" t="n">
        <v>25</v>
      </c>
      <c r="Q20" s="11" t="n">
        <f aca="false">'3 · Cálculo 2025 · f. nueva'!H17</f>
        <v>66.6666666666667</v>
      </c>
      <c r="R20" s="23" t="n">
        <v>66.7</v>
      </c>
      <c r="S20" s="11" t="n">
        <f aca="false">'3 · Cálculo 2025 · f. nueva'!L17</f>
        <v>22.2222222222222</v>
      </c>
      <c r="T20" s="23" t="n">
        <v>11.1</v>
      </c>
      <c r="U20" s="11" t="n">
        <f aca="false">'3 · Cálculo 2025 · f. nueva'!M17</f>
        <v>25</v>
      </c>
      <c r="V20" s="23" t="n">
        <v>25</v>
      </c>
    </row>
    <row r="21" customFormat="false" ht="15" hidden="false" customHeight="false" outlineLevel="0" collapsed="false">
      <c r="A21" s="9" t="s">
        <v>244</v>
      </c>
      <c r="B21" s="12" t="n">
        <f aca="false">'2 · Cálculo 2025 · f. antigua'!T18</f>
        <v>0</v>
      </c>
      <c r="C21" s="12" t="n">
        <f aca="false">'3 · Cálculo 2025 · f. nueva'!T18</f>
        <v>0</v>
      </c>
      <c r="D21" s="21" t="n">
        <v>0</v>
      </c>
      <c r="E21" s="22" t="n">
        <f aca="false">C21-B21</f>
        <v>0</v>
      </c>
      <c r="F21" s="22" t="n">
        <f aca="false">D21-C21</f>
        <v>0</v>
      </c>
      <c r="G21" s="22" t="n">
        <f aca="false">D21-B21</f>
        <v>0</v>
      </c>
      <c r="H21" s="10" t="n">
        <f aca="false">'2 · Cálculo 2025 · f. antigua'!L18</f>
        <v>0</v>
      </c>
      <c r="I21" s="10" t="n">
        <f aca="false">'3 · Cálculo 2025 · f. nueva'!O18</f>
        <v>0</v>
      </c>
      <c r="J21" s="14" t="n">
        <v>0</v>
      </c>
      <c r="K21" s="10" t="n">
        <f aca="false">'2 · Cálculo 2025 · f. antigua'!S18</f>
        <v>0</v>
      </c>
      <c r="L21" s="14" t="n">
        <v>0</v>
      </c>
      <c r="M21" s="11" t="n">
        <f aca="false">'3 · Cálculo 2025 · f. nueva'!D18</f>
        <v>0</v>
      </c>
      <c r="N21" s="23" t="n">
        <v>0</v>
      </c>
      <c r="O21" s="11" t="n">
        <f aca="false">'3 · Cálculo 2025 · f. nueva'!F18</f>
        <v>0</v>
      </c>
      <c r="P21" s="23" t="n">
        <v>0</v>
      </c>
      <c r="Q21" s="11" t="n">
        <f aca="false">'3 · Cálculo 2025 · f. nueva'!H18</f>
        <v>0</v>
      </c>
      <c r="R21" s="23" t="n">
        <v>0</v>
      </c>
      <c r="S21" s="11" t="n">
        <f aca="false">'3 · Cálculo 2025 · f. nueva'!L18</f>
        <v>0</v>
      </c>
      <c r="T21" s="23" t="n">
        <v>0</v>
      </c>
      <c r="U21" s="11" t="n">
        <f aca="false">'3 · Cálculo 2025 · f. nueva'!M18</f>
        <v>0</v>
      </c>
      <c r="V21" s="23" t="n">
        <v>0</v>
      </c>
    </row>
    <row r="22" customFormat="false" ht="15" hidden="false" customHeight="false" outlineLevel="0" collapsed="false">
      <c r="A22" s="9" t="s">
        <v>245</v>
      </c>
      <c r="B22" s="12" t="n">
        <f aca="false">'2 · Cálculo 2025 · f. antigua'!T19</f>
        <v>0</v>
      </c>
      <c r="C22" s="12" t="n">
        <f aca="false">'3 · Cálculo 2025 · f. nueva'!T19</f>
        <v>0</v>
      </c>
      <c r="D22" s="21" t="n">
        <v>0</v>
      </c>
      <c r="E22" s="22" t="n">
        <f aca="false">C22-B22</f>
        <v>0</v>
      </c>
      <c r="F22" s="22" t="n">
        <f aca="false">D22-C22</f>
        <v>0</v>
      </c>
      <c r="G22" s="22" t="n">
        <f aca="false">D22-B22</f>
        <v>0</v>
      </c>
      <c r="H22" s="10" t="n">
        <f aca="false">'2 · Cálculo 2025 · f. antigua'!L19</f>
        <v>0</v>
      </c>
      <c r="I22" s="10" t="n">
        <f aca="false">'3 · Cálculo 2025 · f. nueva'!O19</f>
        <v>0</v>
      </c>
      <c r="J22" s="14" t="n">
        <v>0</v>
      </c>
      <c r="K22" s="10" t="n">
        <f aca="false">'2 · Cálculo 2025 · f. antigua'!S19</f>
        <v>0</v>
      </c>
      <c r="L22" s="14" t="n">
        <v>0</v>
      </c>
      <c r="M22" s="11" t="n">
        <f aca="false">'3 · Cálculo 2025 · f. nueva'!D19</f>
        <v>0</v>
      </c>
      <c r="N22" s="23" t="n">
        <v>0</v>
      </c>
      <c r="O22" s="11" t="n">
        <f aca="false">'3 · Cálculo 2025 · f. nueva'!F19</f>
        <v>0</v>
      </c>
      <c r="P22" s="23" t="n">
        <v>0</v>
      </c>
      <c r="Q22" s="11" t="n">
        <f aca="false">'3 · Cálculo 2025 · f. nueva'!H19</f>
        <v>0</v>
      </c>
      <c r="R22" s="23" t="n">
        <v>0</v>
      </c>
      <c r="S22" s="11" t="n">
        <f aca="false">'3 · Cálculo 2025 · f. nueva'!L19</f>
        <v>0</v>
      </c>
      <c r="T22" s="23" t="n">
        <v>0</v>
      </c>
      <c r="U22" s="11" t="n">
        <f aca="false">'3 · Cálculo 2025 · f. nueva'!M19</f>
        <v>0</v>
      </c>
      <c r="V22" s="23" t="n">
        <v>0</v>
      </c>
    </row>
    <row r="23" customFormat="false" ht="15" hidden="false" customHeight="false" outlineLevel="0" collapsed="false">
      <c r="A23" s="9" t="s">
        <v>246</v>
      </c>
      <c r="B23" s="12" t="n">
        <f aca="false">'2 · Cálculo 2025 · f. antigua'!T20</f>
        <v>0</v>
      </c>
      <c r="C23" s="12" t="n">
        <f aca="false">'3 · Cálculo 2025 · f. nueva'!T20</f>
        <v>0</v>
      </c>
      <c r="D23" s="21" t="n">
        <v>0</v>
      </c>
      <c r="E23" s="22" t="n">
        <f aca="false">C23-B23</f>
        <v>0</v>
      </c>
      <c r="F23" s="22" t="n">
        <f aca="false">D23-C23</f>
        <v>0</v>
      </c>
      <c r="G23" s="22" t="n">
        <f aca="false">D23-B23</f>
        <v>0</v>
      </c>
      <c r="H23" s="10" t="n">
        <f aca="false">'2 · Cálculo 2025 · f. antigua'!L20</f>
        <v>0</v>
      </c>
      <c r="I23" s="10" t="n">
        <f aca="false">'3 · Cálculo 2025 · f. nueva'!O20</f>
        <v>0</v>
      </c>
      <c r="J23" s="14" t="n">
        <v>0</v>
      </c>
      <c r="K23" s="10" t="n">
        <f aca="false">'2 · Cálculo 2025 · f. antigua'!S20</f>
        <v>0</v>
      </c>
      <c r="L23" s="14" t="n">
        <v>0</v>
      </c>
      <c r="M23" s="11" t="n">
        <f aca="false">'3 · Cálculo 2025 · f. nueva'!D20</f>
        <v>0</v>
      </c>
      <c r="N23" s="23" t="n">
        <v>0</v>
      </c>
      <c r="O23" s="11" t="n">
        <f aca="false">'3 · Cálculo 2025 · f. nueva'!F20</f>
        <v>0</v>
      </c>
      <c r="P23" s="23" t="n">
        <v>0</v>
      </c>
      <c r="Q23" s="11" t="n">
        <f aca="false">'3 · Cálculo 2025 · f. nueva'!H20</f>
        <v>0</v>
      </c>
      <c r="R23" s="23" t="n">
        <v>0</v>
      </c>
      <c r="S23" s="11" t="n">
        <f aca="false">'3 · Cálculo 2025 · f. nueva'!L20</f>
        <v>0</v>
      </c>
      <c r="T23" s="23" t="n">
        <v>0</v>
      </c>
      <c r="U23" s="11" t="n">
        <f aca="false">'3 · Cálculo 2025 · f. nueva'!M20</f>
        <v>0</v>
      </c>
      <c r="V23" s="23" t="n">
        <v>0</v>
      </c>
    </row>
    <row r="24" customFormat="false" ht="15" hidden="false" customHeight="false" outlineLevel="0" collapsed="false">
      <c r="A24" s="9" t="s">
        <v>248</v>
      </c>
      <c r="B24" s="12" t="n">
        <f aca="false">'2 · Cálculo 2025 · f. antigua'!T21</f>
        <v>0</v>
      </c>
      <c r="C24" s="12" t="n">
        <f aca="false">'3 · Cálculo 2025 · f. nueva'!T21</f>
        <v>0</v>
      </c>
      <c r="D24" s="21" t="n">
        <v>23</v>
      </c>
      <c r="E24" s="22" t="n">
        <f aca="false">C24-B24</f>
        <v>0</v>
      </c>
      <c r="F24" s="22" t="n">
        <f aca="false">D24-C24</f>
        <v>23</v>
      </c>
      <c r="G24" s="22" t="n">
        <f aca="false">D24-B24</f>
        <v>23</v>
      </c>
      <c r="H24" s="10" t="n">
        <f aca="false">'2 · Cálculo 2025 · f. antigua'!L21</f>
        <v>0</v>
      </c>
      <c r="I24" s="10" t="n">
        <f aca="false">'3 · Cálculo 2025 · f. nueva'!O21</f>
        <v>0</v>
      </c>
      <c r="J24" s="14" t="n">
        <v>29</v>
      </c>
      <c r="K24" s="10" t="n">
        <f aca="false">'2 · Cálculo 2025 · f. antigua'!S21</f>
        <v>0</v>
      </c>
      <c r="L24" s="14" t="n">
        <v>17</v>
      </c>
      <c r="M24" s="11" t="n">
        <f aca="false">'3 · Cálculo 2025 · f. nueva'!D21</f>
        <v>0</v>
      </c>
      <c r="N24" s="23" t="n">
        <v>20</v>
      </c>
      <c r="O24" s="11" t="n">
        <f aca="false">'3 · Cálculo 2025 · f. nueva'!F21</f>
        <v>0</v>
      </c>
      <c r="P24" s="23" t="n">
        <v>25</v>
      </c>
      <c r="Q24" s="11" t="n">
        <f aca="false">'3 · Cálculo 2025 · f. nueva'!H21</f>
        <v>0</v>
      </c>
      <c r="R24" s="23" t="n">
        <v>66.7</v>
      </c>
      <c r="S24" s="11" t="n">
        <f aca="false">'3 · Cálculo 2025 · f. nueva'!L21</f>
        <v>0</v>
      </c>
      <c r="T24" s="23" t="n">
        <v>8.3</v>
      </c>
      <c r="U24" s="11" t="n">
        <f aca="false">'3 · Cálculo 2025 · f. nueva'!M21</f>
        <v>0</v>
      </c>
      <c r="V24" s="23" t="n">
        <v>25</v>
      </c>
    </row>
    <row r="25" customFormat="false" ht="15" hidden="false" customHeight="false" outlineLevel="0" collapsed="false">
      <c r="A25" s="9" t="s">
        <v>249</v>
      </c>
      <c r="B25" s="12" t="n">
        <f aca="false">'2 · Cálculo 2025 · f. antigua'!T22</f>
        <v>0</v>
      </c>
      <c r="C25" s="12" t="n">
        <f aca="false">'3 · Cálculo 2025 · f. nueva'!T22</f>
        <v>0</v>
      </c>
      <c r="D25" s="21" t="n">
        <v>17</v>
      </c>
      <c r="E25" s="22" t="n">
        <f aca="false">C25-B25</f>
        <v>0</v>
      </c>
      <c r="F25" s="22" t="n">
        <f aca="false">D25-C25</f>
        <v>17</v>
      </c>
      <c r="G25" s="22" t="n">
        <f aca="false">D25-B25</f>
        <v>17</v>
      </c>
      <c r="H25" s="10" t="n">
        <f aca="false">'2 · Cálculo 2025 · f. antigua'!L22</f>
        <v>0</v>
      </c>
      <c r="I25" s="10" t="n">
        <f aca="false">'3 · Cálculo 2025 · f. nueva'!O22</f>
        <v>0</v>
      </c>
      <c r="J25" s="14" t="n">
        <v>23</v>
      </c>
      <c r="K25" s="10" t="n">
        <f aca="false">'2 · Cálculo 2025 · f. antigua'!S22</f>
        <v>0</v>
      </c>
      <c r="L25" s="14" t="n">
        <v>11</v>
      </c>
      <c r="M25" s="11" t="n">
        <f aca="false">'3 · Cálculo 2025 · f. nueva'!D22</f>
        <v>0</v>
      </c>
      <c r="N25" s="23" t="n">
        <v>20</v>
      </c>
      <c r="O25" s="11" t="n">
        <f aca="false">'3 · Cálculo 2025 · f. nueva'!F22</f>
        <v>0</v>
      </c>
      <c r="P25" s="23" t="n">
        <v>25</v>
      </c>
      <c r="Q25" s="11" t="n">
        <f aca="false">'3 · Cálculo 2025 · f. nueva'!H22</f>
        <v>0</v>
      </c>
      <c r="R25" s="23" t="n">
        <v>33.3</v>
      </c>
      <c r="S25" s="11" t="n">
        <f aca="false">'3 · Cálculo 2025 · f. nueva'!L22</f>
        <v>0</v>
      </c>
      <c r="T25" s="23" t="n">
        <v>11.1</v>
      </c>
      <c r="U25" s="11" t="n">
        <f aca="false">'3 · Cálculo 2025 · f. nueva'!M22</f>
        <v>0</v>
      </c>
      <c r="V25" s="23" t="n">
        <v>25</v>
      </c>
    </row>
  </sheetData>
  <autoFilter ref="A5:V25"/>
  <mergeCells count="2">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8" t="s">
        <v>352</v>
      </c>
    </row>
    <row r="2" customFormat="false" ht="15" hidden="false" customHeight="false" outlineLevel="0" collapsed="false">
      <c r="A2" s="15"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2026-07-19T02:11:49Z</dcterms:created>
  <dc:creator>openpyxl</dc:creator>
  <dc:description/>
  <dc:language>en-US</dc:language>
  <cp:lastModifiedBy/>
  <dcterms:modified xsi:type="dcterms:W3CDTF">2026-07-19T02:11:53Z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
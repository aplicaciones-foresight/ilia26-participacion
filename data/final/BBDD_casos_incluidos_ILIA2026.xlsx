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 BBDD Casos incluidos" sheetId="1" state="visible" r:id="rId3"/>
    <sheet name="2 · Índice por país" sheetId="2" state="visible" r:id="rId4"/>
  </sheets>
  <definedNames>
    <definedName function="false" hidden="true" localSheetId="0" name="_xlnm._FilterDatabase" vbProcedure="false">'1 · BBDD Casos incluidos'!$A$1:$BA$29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<sst xmlns="http://schemas.openxmlformats.org/spreadsheetml/2006/main" count="730" uniqueCount="400">
  <si>
    <t xml:space="preserve">País (ISO-2)</t>
  </si>
  <si>
    <t xml:space="preserve">Caso</t>
  </si>
  <si>
    <t xml:space="preserve">caso_id</t>
  </si>
  <si>
    <t xml:space="preserve">Año</t>
  </si>
  <si>
    <t xml:space="preserve">Confianza</t>
  </si>
  <si>
    <t xml:space="preserve">Descripción del proceso</t>
  </si>
  <si>
    <t xml:space="preserve">Organización a cargo</t>
  </si>
  <si>
    <t xml:space="preserve">Notas de validación</t>
  </si>
  <si>
    <t xml:space="preserve">Comentarios</t>
  </si>
  <si>
    <t xml:space="preserve">URLs</t>
  </si>
  <si>
    <t xml:space="preserve">Cuenta como iniciativa</t>
  </si>
  <si>
    <t xml:space="preserve">Tipo de proceso</t>
  </si>
  <si>
    <t xml:space="preserve">Etapas uso IA</t>
  </si>
  <si>
    <t xml:space="preserve">Nivel (0-3)</t>
  </si>
  <si>
    <t xml:space="preserve">Continuidad (etiqueta)</t>
  </si>
  <si>
    <t xml:space="preserve">Convocante (7-cat)</t>
  </si>
  <si>
    <t xml:space="preserve">Tipo org</t>
  </si>
  <si>
    <t xml:space="preserve">Rol IA</t>
  </si>
  <si>
    <t xml:space="preserve">Tipo desarrollador IA</t>
  </si>
  <si>
    <t xml:space="preserve">Origen desarrollador</t>
  </si>
  <si>
    <t xml:space="preserve">Tipos/familia IA</t>
  </si>
  <si>
    <t xml:space="preserve">Usa LLM</t>
  </si>
  <si>
    <t xml:space="preserve">norm · Tipo de proceso</t>
  </si>
  <si>
    <t xml:space="preserve">norm · Etapas</t>
  </si>
  <si>
    <t xml:space="preserve">norm · Convocante</t>
  </si>
  <si>
    <t xml:space="preserve">norm · Tipo desarrollador</t>
  </si>
  <si>
    <t xml:space="preserve">norm · Origen desarrollador</t>
  </si>
  <si>
    <t xml:space="preserve">norm · Tipos/familia IA</t>
  </si>
  <si>
    <t xml:space="preserve">TP: Participación Digital (0/1)</t>
  </si>
  <si>
    <t xml:space="preserve">TP: Gobernanza Colaborativa (0/1)</t>
  </si>
  <si>
    <t xml:space="preserve">TP: Mini públicos (0/1)</t>
  </si>
  <si>
    <t xml:space="preserve">TP: Referendos e Iniciativas Populares (0/1)</t>
  </si>
  <si>
    <t xml:space="preserve">TP: Presupuestos Participativos (0/1)</t>
  </si>
  <si>
    <t xml:space="preserve">ET: Planificación (0/1)</t>
  </si>
  <si>
    <t xml:space="preserve">ET: Implementación (0/1)</t>
  </si>
  <si>
    <t xml:space="preserve">ET: Análisis (0/1)</t>
  </si>
  <si>
    <t xml:space="preserve">ET: Traducción Política (0/1)</t>
  </si>
  <si>
    <t xml:space="preserve">CV: gobierno local [GL] (0/1)</t>
  </si>
  <si>
    <t xml:space="preserve">CV: gobierno nacional [GN] (0/1)</t>
  </si>
  <si>
    <t xml:space="preserve">CV: otra institución pública [OIP] (0/1)</t>
  </si>
  <si>
    <t xml:space="preserve">CV: empresa [EMP] (0/1)</t>
  </si>
  <si>
    <t xml:space="preserve">CV: universidad [UNI] (0/1)</t>
  </si>
  <si>
    <t xml:space="preserve">CV: sociedad civil [SC] (0/1)</t>
  </si>
  <si>
    <t xml:space="preserve">CV: organización internacional [OI] (0/1)</t>
  </si>
  <si>
    <t xml:space="preserve">DEV: Privado (0/1)</t>
  </si>
  <si>
    <t xml:space="preserve">DEV: Academia (0/1)</t>
  </si>
  <si>
    <t xml:space="preserve">DEV: Gobierno (0/1)</t>
  </si>
  <si>
    <t xml:space="preserve">DEV: Sociedad Civil (0/1)</t>
  </si>
  <si>
    <t xml:space="preserve">ORG: Nacional (0/1)</t>
  </si>
  <si>
    <t xml:space="preserve">ORG: Internacional (0/1)</t>
  </si>
  <si>
    <t xml:space="preserve">Nivel efectivo</t>
  </si>
  <si>
    <t xml:space="preserve">Clave combinación convocantes</t>
  </si>
  <si>
    <t xml:space="preserve">Combinación 1ª aparición (país)</t>
  </si>
  <si>
    <t xml:space="preserve">BR</t>
  </si>
  <si>
    <t xml:space="preserve">5ª Conferência Nacional de CT&amp;I - sistematización con IA</t>
  </si>
  <si>
    <t xml:space="preserve">BR-5a-conferencia-nacional-de-ct-i-sistemat</t>
  </si>
  <si>
    <t xml:space="preserve">ALTA</t>
  </si>
  <si>
    <t xml:space="preserve">Proceso participativo de consulta pública nacional para la construcción de la nueva Estrategia Nacional de Ciencia, Tecnología e Innovación (ENCTI 2030). Comprendió más de 200 etapas preparatorias (18 reuniones temáticas, 157 conferencias libres, 27 conferencias estaduales, 14 municipales y 5 regionales), con más de 100 mil participantes en 221 eventos, culminando en la etapa nacional en Brasília (30-31 jul y 1 ago 2024). La Subcomissão de Sistematização e Documentação usó IA para transcribir, analizar, sistematizar y sintetizar las contribuciones, produciendo e-books de síntesis y los Libros Lilás (rec. de la sociedad) y Violeta (documento de referencia) que orientan la ENCTI.</t>
  </si>
  <si>
    <t xml:space="preserve">Ministério da Ciência, Tecnologia e Inovação (MCTI), con organización del Centro de Gestão e Estudos Estratégicos (CGEE). La sistematización con IA fue ejecutada por la empresa TDS Company (Porto Digital, Recife, PE) con curaduría de la Subcomissão de Sistematização e Documentação, coordinada por Francilene Garcia.</t>
  </si>
  <si>
    <t xml:space="preserve">https://www.gov.br/mcti/pt-br/acompanhe-o-mcti/noticias/2024/08/5a-conferencia-nacional-de-ciencia-tecnologia-e-inovacao-na-era-digital-tem-publico-recorde-lancamento-de-plano-de-ia-e-debates-sobre-temas-urgentes</t>
  </si>
  <si>
    <t xml:space="preserve">sí</t>
  </si>
  <si>
    <t xml:space="preserve">Participación Digital; Gobernanza Colaborativa</t>
  </si>
  <si>
    <t xml:space="preserve">Análisis</t>
  </si>
  <si>
    <t xml:space="preserve">Uso único</t>
  </si>
  <si>
    <t xml:space="preserve">gobierno nacional</t>
  </si>
  <si>
    <t xml:space="preserve">Público</t>
  </si>
  <si>
    <t xml:space="preserve">contenido</t>
  </si>
  <si>
    <t xml:space="preserve">Privado</t>
  </si>
  <si>
    <t xml:space="preserve">Nacional</t>
  </si>
  <si>
    <t xml:space="preserve">Voz a Texto; NLP</t>
  </si>
  <si>
    <t xml:space="preserve">no-claro</t>
  </si>
  <si>
    <t xml:space="preserve">BO</t>
  </si>
  <si>
    <t xml:space="preserve">Bolivia Conversa</t>
  </si>
  <si>
    <t xml:space="preserve">BO-bolivia-conversa</t>
  </si>
  <si>
    <t xml:space="preserve">ALTA (baseline 2025 + reverif. web 2026)</t>
  </si>
  <si>
    <t xml:space="preserve">Plataforma de diálogo digital que emplea IA para procesar y agrupar aportaciones ciudadanas en tiempo real, retornando feedback inmediato y garantizando anonimato, con vistas a fomentar el reencuentro y la cohesión social en el país.</t>
  </si>
  <si>
    <t xml:space="preserve">Vicepresidencia del Estado Plurinacional de Bolivia y Sistema de Naciones Unidas en Bolivia</t>
  </si>
  <si>
    <t xml:space="preserve">https://bolivia.un.org/es/216764-%E2%80%9Cbolivia-conversa%E2%80%9D-%C2%BFc%C3%B3mo-la-tecnolog%C3%ADa-puede-ayudar-promover-el-di%C3%A1logo</t>
  </si>
  <si>
    <t xml:space="preserve">Gobernanza Colaborativa</t>
  </si>
  <si>
    <t xml:space="preserve">Implementación; Análisis</t>
  </si>
  <si>
    <t xml:space="preserve">gobierno nacional; organización internacional</t>
  </si>
  <si>
    <t xml:space="preserve">Internacional</t>
  </si>
  <si>
    <t xml:space="preserve">NLP - Tópicos</t>
  </si>
  <si>
    <t xml:space="preserve">no</t>
  </si>
  <si>
    <t xml:space="preserve">Brasil Participativo - clustering semántico de propuestas ciudadanas (BERTopic + LLM, alineado a VCGE)</t>
  </si>
  <si>
    <t xml:space="preserve">BR-brasil-participativo-clustering-semantic</t>
  </si>
  <si>
    <t xml:space="preserve">MEDIA</t>
  </si>
  <si>
    <t xml:space="preserve">Brasil Participativo es la plataforma digital de participación social del Gobierno Federal de Brasil (construida sobre el software libre Decidim), lanzada en 2023 por la Secretaria-Geral da Presidência da República. En ella la ciudadanía envía propuestas de texto libre, revisiones, comentarios y votos sobre políticas públicas en procesos participativos federales reales: el Plano Plurianual Participativo (PPA 2024-2027), el Plano Clima Participativo y el Congresso da Juventude, además de conferencias y consultas públicas. Sobre el contenido de esas propuestas, equipos de la Universidade de Brasília (LAPPIS/FGA-UnB) y la Residência TIC BRISA desarrollaron un pipeline de IA que recolecta, clasifica y agrupa por temas las propuestas: combina modelado de tópicos con BERTopic (probando varios embeddings: BERTimbau, LaBSE, GovBERT-BR, etc.), incorpora conocimiento institucional mediante seed words extraídas del VCGE (Vocabulário Controlado do Governo Eletrônico) y usa LLMs para el etiquetado/validación automática de los tópicos, generando categorías y reportes temáticos consistentes con la taxonomía oficial para apoyar a los equipos de formulación de políticas. Se documenta un pipeline ML en evolución hacia producción (paper 'From Pre-labeling to Production') y un clasificador ML adicional (BP-Classificador-de-Propostas) entrenado a diario con Apache Airflow con datos de la plataforma, descrito como destinado a integrarse en la plataforma.</t>
  </si>
  <si>
    <t xml:space="preserve">Plataforma: Secretaria-Geral da Presidência da República (Secretaria Nacional de Participação Social), Gobierno Federal de Brasil, con desarrollo de la plataforma a cargo de LAPPIS/FGA-UnB y la comunidad Decidim-Brasil (Dataprev). Componente de IA (clustering semántico / clasificador): investigadores de la Universidade de Brasília (LAPPIS) y la Residência TIC BRISA (UnB-Gama / BRISA), con la Secretaria de Participação Social como mentora del proyecto.</t>
  </si>
  <si>
    <t xml:space="preserve">Yo lo dejaría, pero como anuncio dado que no se ve que haya sido implementado todavía en las fuentes que tenemos</t>
  </si>
  <si>
    <t xml:space="preserve">No hay fuente que respalde el uso de IA activo en la iniciativa. Solo un paper donde se promueve su implementación</t>
  </si>
  <si>
    <t xml:space="preserve">Gobernanza Colaborativa; Participación Digital</t>
  </si>
  <si>
    <t xml:space="preserve">Anuncio</t>
  </si>
  <si>
    <t xml:space="preserve">Academia; Gobierno</t>
  </si>
  <si>
    <t xml:space="preserve">NLP; Topic modeling; Clustering semántico; Clasificación de texto; Embeddings; LLM</t>
  </si>
  <si>
    <t xml:space="preserve">Meta Community Forum on Generative AI — cohorte Brasil (Deliberative Polling, Stanford)</t>
  </si>
  <si>
    <t xml:space="preserve">BR-meta-community-forum-genai</t>
  </si>
  <si>
    <t xml:space="preserve">ALTA (plataforma, moderador automatizado, fechas, cohorte BR y hallazgos BR confirmados con citas verbatim de Stanford/BIT); pendiente solo N de Brasil e idioma, y el pipeline de análisis (posible upgrade a 'contenido')</t>
  </si>
  <si>
    <t xml:space="preserve">Foro comunitario deliberativo (Deliberative Polling®) sobre principios para los chatbots de IA generativa, realizado el 28-29 de octubre de 2023 en la Stanford Online Deliberation Platform con 1.545 participantes de muestras científicas de Brasil, Alemania, España y EE.UU. Formato: grupos pequeños de 8-12 personas (166 grupos, con grupo de control por país), panel de expertos en plenario, cuadernillo informativo (~50 págs.) y 44 preguntas de opinión pre/post. Los resultados (publicados abr-2024) incluyen hallazgos específicos de Brasil (p. ej., fuerte oposición a relaciones románticas humano-chatbot; énfasis en perspectivas locales en las fuentes de la IA). Meta declaró que los resultados 'ayudaron a dar forma a algunas de las decisiones más fundamentales' del diseño de sus productos de IA generativa.</t>
  </si>
  <si>
    <t xml:space="preserve">Meta (convocante/financista) + Stanford Deliberative Democracy Lab (diseño y ejecución del Deliberative Polling®) + Behavioural Insights Team (entrega y recomendaciones)</t>
  </si>
  <si>
    <t xml:space="preserve">Entra como «apoyo» (moderador automatizado de la deliberación). Pendiente: confirmar N de la cohorte Brasil e idioma, y si el pipeline de análisis toca el CONTENIDO de los aportes (posible upgrade rol_IA apoyo→contenido). Fuentes Stanford DDL / BIT ya citadas.</t>
  </si>
  <si>
    <t xml:space="preserve">https://deliberation.stanford.edu/meta-community-forum-generative-ai-results</t>
  </si>
  <si>
    <t xml:space="preserve">Mini públicos</t>
  </si>
  <si>
    <t xml:space="preserve">Implementación</t>
  </si>
  <si>
    <t xml:space="preserve">empresa; universidad</t>
  </si>
  <si>
    <t xml:space="preserve">apoyo</t>
  </si>
  <si>
    <t xml:space="preserve">Academia</t>
  </si>
  <si>
    <t xml:space="preserve">Moderación/facilitación automatizada; Sistema de reglas/temporización</t>
  </si>
  <si>
    <t xml:space="preserve">OPA Piauí - Orçamento Participativo Digital (Colab)</t>
  </si>
  <si>
    <t xml:space="preserve">BR-opa-piaui-presupuesto-participativo-digi</t>
  </si>
  <si>
    <t xml:space="preserve">OPA (Orçamento Participativo Digital) es el presupuesto participativo 100% digital del Gobierno del Estado de Piauí (Brasil), creado en 2023 y coordinado por la Secretaria do Planejamento (SEPLAN) con apoyo de la Secretaria de Relações Sociais (Seres). Se ejecuta sobre la plataforma Colab Gov (de la govtech Colab) con infraestructura AWS. El ciclo incluye cadastramento de propuestas por entidades comunitarias/asociaciones, una fase de 'análise técnica' (verificación de documentación, viabilidad de ejecución, claridad de la descripción, adecuación al área temática y no duplicación) y una votación popular abierta a la ciudadanía. En la edición 2026-2027, según el material de Colab, 'a análise ganhou agilidade com o uso de inteligência artificial, que reduziu em 40% o tempo de processamento das propostas', con economía de R$ 1,75 millón y 99,98% de disponibilidad del sistema. La señal disponible vincula la IA al procesamiento/agilización del flujo, a la seguridad de la infraestructura (filtrado de conexiones inseguras vía AWS CloudFront), a un chatbot/capacitación (CapacitIA) y a un 'Observatório do OPA' de transparencia; la 'análise técnica' de viabilidad se describe de forma reiterada como tarea conducida por equipos técnicos a través de la plataforma. NO hay evidencia de que la IA clasifique, agrupe (clustering) o sintetice el CONTENIDO temático/semántico de las propuestas en el OPA.</t>
  </si>
  <si>
    <t xml:space="preserve">Governo do Estado do Piauí - Secretaria do Planejamento (SEPLAN), con apoyo de la Secretaria de Relações Sociais (Seres). Socio tecnológico: GovTech Colab (plataforma Colab Gov); infraestructura: AWS (Amazon Web Services).</t>
  </si>
  <si>
    <t xml:space="preserve">Caso con más huecos y rol_IA dudoso. (1) Definir rol_IA: la evidencia dice que la IA agiliza el flujo y la seguridad y reduce ~40% el tiempo de análisis, SIN traza de que clasifique/agrupe/sintetice el CONTENIDO de las propuestas → hoy «apoyo»; confirmar en la fuente si hay análisis de contenido (subiría a «contenido»). (2) Completar «Tipos/familia IA» (vacío). (3) Faltan citas en Evidencia: etapas_uso_IA, estado_actividad, nivel_consolidación, tipo_convocante y usa_IA_en_proceso — abrir las URLs (Colab / SEPLAN) y extraer verbatim.</t>
  </si>
  <si>
    <t xml:space="preserve">No se especifica tan bien como es el uso de la IA, pero lo menciona</t>
  </si>
  <si>
    <t xml:space="preserve">https://www.colab.com.br/noticias/opa-e-a-participacao-popular-como-as-plataformas-colab-fortalecem-o-processo-participativo-no-piaui/</t>
  </si>
  <si>
    <t xml:space="preserve">Presupuestos Participativos; Participación Digital</t>
  </si>
  <si>
    <t xml:space="preserve">Plataforma</t>
  </si>
  <si>
    <t xml:space="preserve">gobierno local</t>
  </si>
  <si>
    <t xml:space="preserve">Plan Plurianual de la ciudad de Natal</t>
  </si>
  <si>
    <t xml:space="preserve">BR-plan-plurianual-de-la-ciudad-de-natal</t>
  </si>
  <si>
    <t xml:space="preserve">Recolección de información a través de tres preguntas habilitadas por WhatsApp para diseñar el Plan Plurianual de la ciudad 2026-2029</t>
  </si>
  <si>
    <t xml:space="preserve">Prefeitura Municipal de Natal, a través de la Secretaría Municipal de Planeamiento (SEMPLA)</t>
  </si>
  <si>
    <t xml:space="preserve">https://diariodorn.com.br/prefeitura-de-natal-lanca-ppa-participativo-via-whatsapp-com-inteligencia-artificial/</t>
  </si>
  <si>
    <t xml:space="preserve">Gobierno; Privado</t>
  </si>
  <si>
    <t xml:space="preserve">Nacional, Internacional</t>
  </si>
  <si>
    <t xml:space="preserve">LLM; NLP</t>
  </si>
  <si>
    <t xml:space="preserve">Portal e-Cidadania (Senado Federal de Brasil) — IA sobre aportes ciudadanos: marcado automático de respuestas en audiencias públicas + matching semántico de ideias legislativas</t>
  </si>
  <si>
    <t xml:space="preserve">BR-e-cidadania-senado</t>
  </si>
  <si>
    <t xml:space="preserve">ALTA (baseline 2025 + reverif. web 2026; ambas herramientas)</t>
  </si>
  <si>
    <t xml:space="preserve">Portal e-Cidadania del Senado Federal de Brasil (plataforma de participación ciudadana). Aplica IA sobre los aportes ciudadanos en DOS herramientas del MISMO portal (cuentan como 1 iniciativa):
(1) MARCADO DE AUDIENCIAS PÚBLICAS (2025): Implementación de IA para identificar y marcar en los videos de eventos las respuestas dadas a preguntas ciudadanas, incluso cuando estas no fueron respondidas directamente durante las audiencias.
(2) MATCHING DE IDEIAS LEGISLATIVAS (dic-2025 / ene-2026): Portal e-Cidadania del Senado Federal de Brasil, módulo 'Ideia Legislativa', donde la población envía sugerencias para crear o mejorar leyes. Tradicionalmente una idea debía reunir 20.000 apoyos en 4 meses para ser formalizada como Sugestão Legislativa y analizada por la Comissão de Direitos Humanos e Legislação Participativa (CDH). A fines de 2025 / enero 2026 el Senado desplegó una herramienta de inteligencia artificial (búsqueda semántica) sobre el banco de ideias legislativas (145.993 ideias a enero 2026) que, a pedido de la Consultoria Legislativa cuando un senador prepara un proyecto, busca y selecciona las ideas ciudadanas temáticamente compatibles para incorporarlas y citarlas en la justificación del proyecto de ley, sin exigir el mínimo de apoyos.</t>
  </si>
  <si>
    <t xml:space="preserve">Senado Federal de Brasil — Programa e-Cidadania (Secretaria de Transparência / Coordenação do e-Cidadania). El matching de ideias legislativas se opera junto con la Consultoria Legislativa del Senado; herramienta desarrollada por el servidor Alisson Bruno (coordenador do e-Cidadania) en el marco del Desafio de Inovação do Senado. El marcado automático de audiencias corre en el mismo portal e-Cidadania.</t>
  </si>
  <si>
    <t xml:space="preserve">Fila FUSIONADA: el MISMO portal e-Cidadania del Senado con DOS aplicaciones de IA — marcado de audiencias (2025, usa LLM) y matching semántico de ideias legislativas (dic-2025 / ene-2026). Cuenta como 1 iniciativa; no volver a separar en dos filas. Confianza ALTA en ambas.</t>
  </si>
  <si>
    <t xml:space="preserve">https://www12.senado.leg.br/noticias/materias/2025/03/28/e-cidadania-utiliza-ia-para-marcar-respostas-aos-cidadaos-em-audiencias
https://www12.senado.leg.br/noticias/materias/2026/01/16/cidadaos-ajudam-a-escrever-projetos-de-lei-com-ferramenta-de-inteligencia-artificial
https://www12.senado.leg.br/radio/1/noticia/2026/01/15/ia-vai-aproximar-ideias-legislativas-do-e-cidadania-e-projetos-de-senadores
https://www.poder360.com.br/poder-congresso/ia-do-senado-usa-sugestoes-enviadas-por-cidadaos-em-projetos-de-lei/</t>
  </si>
  <si>
    <t xml:space="preserve">Gobernanza Colaborativa; Participación Digital; Referendos e Iniciativas Populares</t>
  </si>
  <si>
    <t xml:space="preserve">Análisis; Traducción Política</t>
  </si>
  <si>
    <t xml:space="preserve">Gobierno</t>
  </si>
  <si>
    <t xml:space="preserve">Voz a Texto; LLM; NLP; Búsqueda semántica</t>
  </si>
  <si>
    <t xml:space="preserve">São Paulo - Programa de Metas 2025-2028  / Participe Mais (Gemini)</t>
  </si>
  <si>
    <t xml:space="preserve">BR-sao-paulo-programa-de-metas-participe-ma</t>
  </si>
  <si>
    <t xml:space="preserve">MEDIA-ALTA</t>
  </si>
  <si>
    <t xml:space="preserve">Consulta pública del Programa de Metas 2025-2028 / Plano Plurianual (PPA) 2026-2029 / Planos de Ação das Subprefeituras (PAS) 2026-2029 de la Prefeitura de São Paulo, realizada en el portal Participe Mais (Participe+), plataforma de participación social de la Prefeitura construida sobre el software libre Decidim (basado en CONSUL/Decidim de Madrid-Barcelona). La consulta estuvo abierta del 7/04/2025 al 11/05/2025; el ciclo participativo incluyó 36 audiencias públicas híbridas en la ciudad (abril-mayo 2025) y recibió 6.368 propostas y más de 31.000 interacciones ciudadanas (sugerencias, apoyos, propuestas y críticas). Sobre ese material, en mayo de 2025 Carolina Borges -Agente de Governo Aberto de la Prefeitura- desarrolló una herramienta (Python + Pandas + Google Gemini) que clasifica las propostas en categorías, las ordena por asunto y cantidad de apoyos y genera relatórios y painéis visuales (ranking de temas más recurrentes y participación por distrito y subprefeitura), 'facilitando a divulgação das propostas à população'. La herramienta y su metodología se presentaron en la oficina 'Análise de Dados com Inteligência Artificial na Gestão Pública: Programa de Metas' de la Escola do Parlamento de la Câmara Municipal de São Paulo (15/12/2025), realizada en parceria con el Programa Agentes de Governo Aberto da Prefeitura.</t>
  </si>
  <si>
    <t xml:space="preserve">Proceso participativo (Programa de Metas / PPA / PAS): Prefeitura de São Paulo (Secretaria Municipal de Planejamento / Casa Civil / Coordenadoria de Governo Aberto, portal Participe Mais). Herramienta de IA: desarrollada por Carolina Borges, Agente de Governo Aberto de São Paulo (formación en Ciência da Computação y posgrado en Gestão e Controle Social de Políticas Públicas por la Escola de Contas do TCM-SP; experiencia profesional, académica y voluntaria), presentada en la oficina de la Escola do Parlamento da Câmara Municipal de São Paulo en parceria con el Programa Agentes de Governo Aberto. No se confirmó que la Prefeitura adoptara esta herramienta como su pipeline oficial de análisis del proceso.</t>
  </si>
  <si>
    <t xml:space="preserve">Confirmar el ESTATUS de la herramienta: la clasificación con Gemini la desarrolló una Agente de Governo Aberto y se presentó en un taller de la Escola do Parlamento; NO se confirmó que la Prefeitura la adoptara como pipeline OFICIAL del proceso. Verificar si es adopción institucional (entra pleno) o iniciativa individual sobre el proceso.</t>
  </si>
  <si>
    <t xml:space="preserve">La IA (Gemini) se usa como herramienta de post-procesamiento y análisis exploratorio de datos sobre las propuestas ciudadanas ya recolectadas — no participa en la interacción con el ciudadano, ni en la decisión, sino en clasificar y organizar el volumen de texto libre que la gente ya escribió, para que humanos (técnicos, gestores, la propia población) puedan entender más rápido qué está pidiendo la gente.</t>
  </si>
  <si>
    <t xml:space="preserve">https://www.saopaulo.sp.leg.br/escoladoparlamento/cursos/cursos-anteriores/cursos-realizados-em-2025/oficina-analise-de-dados-com-inteligencia-artificial-na-gestao-publica-programa-de-metas/</t>
  </si>
  <si>
    <t xml:space="preserve">Sociedad Civil; Gobierno</t>
  </si>
  <si>
    <t xml:space="preserve">LLM generativa; NLP; Clasificación de texto</t>
  </si>
  <si>
    <t xml:space="preserve">CL</t>
  </si>
  <si>
    <t xml:space="preserve">Cabildos 2016</t>
  </si>
  <si>
    <t xml:space="preserve">CL-cabildos-2016</t>
  </si>
  <si>
    <t xml:space="preserve">Análisis de los cabildos del proceso constitucional en 2016</t>
  </si>
  <si>
    <t xml:space="preserve">Gobierno de Chile (Presidencia/SEGPRES) — convocante del Proceso Constituyente Abierto; la Biblioteca del Congreso Nacional sistematiza y archiva los resultados (convenio con Senado, Cámara y SEGPRES).</t>
  </si>
  <si>
    <t xml:space="preserve">https://www.bcn.cl/procesoconstituyente/cabildos2016/</t>
  </si>
  <si>
    <t xml:space="preserve">El Chile que Queremos (ECQQ) - MinCiencia</t>
  </si>
  <si>
    <t xml:space="preserve">CL-el-chile-que-queremos-ecqq-minciencia</t>
  </si>
  <si>
    <t xml:space="preserve">Iniciativa gubernamental de diálogos ciudadanos y escucha social presentada por el Gobierno de Chile el 22 de noviembre de 2019, en el marco del Acuerdo por la Justicia Social y el Acuerdo por una Nueva Constitución tras el estallido social. Entre noviembre de 2019 y marzo de 2020, la ciudadanía pudo participar mediante diálogos grupales (cabildos) o consultas individuales en el sitio www.chilequequeremos.cl, registrando sus necesidades y propuestas para complementar futuras políticas públicas. El proceso fue un esfuerzo conjunto de los Ministerios de Desarrollo Social y Familia, de Ciencia/Tecnología/Conocimiento e Innovación (MinCiencia), de Agricultura, la SEGEGOB y la División de Gobierno Digital. El Ministerio de Ciencia fue responsable de SISTEMATIZAR los aportes ciudadanos usando ciencia de datos / IA: el repositorio público MinCiencia/ECQQ contiene el código que clasifica las contribuciones (texto libre de los aportes) mediante redes neuronales recurrentes (RNN) y árboles de decisión (Random Forest), y sistematiza emociones y necesidades mediante análisis de tópicos (NLP/LDA) sobre el contenido de diálogos y consultas individuales.</t>
  </si>
  <si>
    <t xml:space="preserve">Gobierno de Chile - proceso conjunto liderado por el Ministerio de Desarrollo Social y Familia; sistematización de los aportes con ciencia de datos/IA a cargo del Ministerio de Ciencia, Tecnología, Conocimiento e Innovación (MinCiencia). Participaron también Ministerio de Agricultura, SEGEGOB y División de Gobierno Digital.</t>
  </si>
  <si>
    <t xml:space="preserve">https://github.com/MinCiencia/ECQQ</t>
  </si>
  <si>
    <t xml:space="preserve">NLP; Clasificación de texto; Modelado de tópicos (LDA); Redes neuronales recurrentes (RNN); Random Forest; Clasificación de emociones; Machine Learning</t>
  </si>
  <si>
    <t xml:space="preserve">Estudio dIAlogos - Percepciones de Futuro</t>
  </si>
  <si>
    <t xml:space="preserve">CL-estudio-dialogos-percepciones-de-futuro</t>
  </si>
  <si>
    <t xml:space="preserve">MEDIA (baseline 2025; sin señal web 2026 nueva)</t>
  </si>
  <si>
    <t xml:space="preserve">Estudio que utilizó distintas herramientas de IA para conocer las percepciones de futuro de la población chilena</t>
  </si>
  <si>
    <t xml:space="preserve">Fundación Encuentros del Futuro y Merlín Research</t>
  </si>
  <si>
    <t xml:space="preserve">Ajuste link</t>
  </si>
  <si>
    <t xml:space="preserve">https://fairlac.iadb.org/en/dialogos-study-perceptions-future</t>
  </si>
  <si>
    <t xml:space="preserve">sociedad civil; empresa</t>
  </si>
  <si>
    <t xml:space="preserve">Mixto</t>
  </si>
  <si>
    <t xml:space="preserve">NLP</t>
  </si>
  <si>
    <t xml:space="preserve">Jornada de Escucha Lanzamiento Instituto de Políticas Públicas UNAB</t>
  </si>
  <si>
    <t xml:space="preserve">CL-jornada-de-escucha-lanzamiento-instituto</t>
  </si>
  <si>
    <t xml:space="preserve">Jornadas de diálogo de la comunidad académica y otos stakeholders.</t>
  </si>
  <si>
    <t xml:space="preserve">Universidad Andres Bello</t>
  </si>
  <si>
    <t xml:space="preserve">https://ipp.unab.cl/
https://public.tableau.com/app/profile/ivania.yovanovic/viz/JornadasInstitutoPolticasPblicasUNAB/Dashboard3</t>
  </si>
  <si>
    <t xml:space="preserve">universidad</t>
  </si>
  <si>
    <t xml:space="preserve">LXS 400 - Chile Delibera</t>
  </si>
  <si>
    <t xml:space="preserve">CL-lxs-400-chile-delibera</t>
  </si>
  <si>
    <t xml:space="preserve">Encuesta deliberativa nacional (Deliberative Poll, modelo de James S. Fishkin) convocada por el Senado de Chile (Comisión Desafíos del Futuro) junto a la Fundación Tribu, el Centro para la Democracia Deliberativa de la Universidad de Stanford, la Universidad de Chile, la Asociación Chilena de Municipalidades (AChM) y el Servicio de Registro Civil. Un mini-público de ~400-514 ciudadanos seleccionados aleatoriamente y representativos del país deliberó de forma online (vía Zoom y la Stanford Online Deliberation Platform) los días 5, 6 y 7 de marzo de 2021 sobre reformas a pensiones y salud, en grupos pequeños y sesiones plenarias, de cara al debate constitucional. El proceso comenzó en diciembre de 2020 con la selección de la muestra y la entrega de material informativo equilibrado (argumentos a favor y en contra). La plataforma online de Stanford incorporó un moderador automatizado (IA) que controlaba los tiempos y distribuía equitativamente los turnos de palabra (colas de habla, temporizador, sistema de señal para determinar quién hablaba a continuación); en paralelo, el Centro de Microdatos de la U. de Chile usó tecnología basada en IA para seleccionar la muestra representativa.</t>
  </si>
  <si>
    <t xml:space="preserve">Senado de Chile (Comisión Desafíos del Futuro, Ciencia, Tecnología e Innovación) y Fundación Tribu, con la Universidad de Stanford (Center for Deliberative Democracy / Deliberative Democracy Lab), la Universidad de Chile (Centro de Microdatos), la Asociación Chilena de Municipalidades (AChM) y el Servicio de Registro Civil e Identificación.</t>
  </si>
  <si>
    <t xml:space="preserve">La primera semana de abril se espera que los organizadores entreguen un informe cuantitativo, uno cualitativo, otro de Inteligencia Artificial (IA) y una propuesta de políticas públicas.</t>
  </si>
  <si>
    <t xml:space="preserve">https://es.wikipedia.org/wiki/Lxs_400:_Chile_Delibera
https://www.senado.cl/comunicaciones/noticias/chile-delibera-lxs-400-un-fin-de-semana-de-democracia-deliberativa-online</t>
  </si>
  <si>
    <t xml:space="preserve">Implementación; Planificación</t>
  </si>
  <si>
    <t xml:space="preserve">gobierno nacional; universidad; sociedad civil</t>
  </si>
  <si>
    <t xml:space="preserve">Moderación/facilitación automatizada; Sistema de reglas/temporización; Muestreo estadístico asistido por IA</t>
  </si>
  <si>
    <t xml:space="preserve">La voz de los nuevos votantes</t>
  </si>
  <si>
    <t xml:space="preserve">CL-la-voz-de-los-nuevos-votantes</t>
  </si>
  <si>
    <t xml:space="preserve">Análisis de Lenguaje Natural para los audios transcritos de encuesta realizada en persona.</t>
  </si>
  <si>
    <t xml:space="preserve">https://ipp.unab.cl/wp-content/uploads/2023/10/2-IPP-UNAB_Informe-Voz-de-los-votantes.pdf
https://ipp.unab.cl/publicacion/la-voz-de-los-nuevos-votantes-san-bernardo/</t>
  </si>
  <si>
    <t xml:space="preserve">Participación Ciudadana Proceso Constitucional</t>
  </si>
  <si>
    <t xml:space="preserve">CL-participacion-ciudadana-proceso-constitu</t>
  </si>
  <si>
    <t xml:space="preserve">Análisis de los resultados obtenidos de los Diálogos Ciudadanos Autoconvocados dentro del proceso constitucional</t>
  </si>
  <si>
    <t xml:space="preserve">Secretaría de Participación Ciudadana</t>
  </si>
  <si>
    <t xml:space="preserve">https://www.secretariadeparticipacion.cl/wp-content/uploads/2023/10/Informe-SPC-Final.pdf</t>
  </si>
  <si>
    <t xml:space="preserve">Tenemos que hablar de Chile</t>
  </si>
  <si>
    <t xml:space="preserve">CL-tenemos-que-hablar-de-chile</t>
  </si>
  <si>
    <t xml:space="preserve">Iniciativa de diálogo y participación llevada a cabo por la UCH y PUC en el contexto de manifestaciones sociales</t>
  </si>
  <si>
    <t xml:space="preserve">Universidad de Chile y Pontificia Universidad Católica de Chile</t>
  </si>
  <si>
    <t xml:space="preserve">https://www.tenemosquehablardechile.cl/
https://static1.squarespace.com/static/630d0dbf05b8104ed4d55d7f/t/67f694b2f91e4f228bb941cb/1744213189210/01.+Primer-InformeTQHDCH.pdf</t>
  </si>
  <si>
    <t xml:space="preserve">Un encuentro para la equidad de género en la movilidad en Chile</t>
  </si>
  <si>
    <t xml:space="preserve">CL-un-encuentro-para-la-equidad-de-genero-e</t>
  </si>
  <si>
    <t xml:space="preserve">Espacio participativo para levantar opiniones y propuestas de autoridades, miembros de la sociedad civil y académicos sobre la movilidad con perspectiva de género en Chile.</t>
  </si>
  <si>
    <t xml:space="preserve">https://ipp.unab.cl/el-centro-ciudhad-y-observatorio-territorial-del-ipp-unab-realizaron-la-jornada-participativa-un-encuentro-para-la-equidad-de-genero-en-la-movilidad-en-chile/
https://noticiasrepositorio.unab.cl/el-centro-ciudhad-y-observatorio-territorial-del-ipp-unab-realizaron-la-jornada-participativa-un-encuentro-para-la-equidad-de-genero-en-la-movilidad-en-chile/
https://public.tableau.com/app/profile/ivania.yovanovic/viz/UnencuentroparalaequidaddegneroenlamovilidadenChile-CIUDHAD/CIUDHADTransporteyGnero</t>
  </si>
  <si>
    <t xml:space="preserve">CO</t>
  </si>
  <si>
    <t xml:space="preserve">Chatico</t>
  </si>
  <si>
    <t xml:space="preserve">CO-chatico</t>
  </si>
  <si>
    <t xml:space="preserve">Agente virtual de Bogotá (Secretaría General) con módulos de PARTICIPACIÓN además de atención: votación de Causas Ciudadanas y de los Presupuestos Participativos (240.000+ votos desde 2022) y recepción de más de 147.000 aportes ciudadanos para la construcción del Plan Distrital de Desarrollo 'Bogotá Camina Segura' 2024-2027. Renovado con IA generativa (2026); atiende por WhatsApp/Telegram/webchat.</t>
  </si>
  <si>
    <t xml:space="preserve">Secretaría General de la Alcaldía Mayor de Bogotá</t>
  </si>
  <si>
    <t xml:space="preserve">https://secretariageneral.gov.co/noticias/chatico-el-agente-virtual-de-servicio-la-ciudadania-supero-los-36-millones-de-conversaciones
https://bogota.gov.co/mi-ciudad/gestion-publica/distrito-presenta-su-agente-virtual-chatico-que-guia-la-ciudadania
https://bogota.gov.co/mi-ciudad/participacion-y-cultura-ciudadana/plan-desarrollo-bogota-camina-segura-tuvo-147-mil-aportes-ciudadanos</t>
  </si>
  <si>
    <t xml:space="preserve">Privado; Gobierno</t>
  </si>
  <si>
    <t xml:space="preserve">NLP; LLM</t>
  </si>
  <si>
    <t xml:space="preserve">ECHO – HáblameD Medellín</t>
  </si>
  <si>
    <t xml:space="preserve">CO-echo-hablamed-medellin</t>
  </si>
  <si>
    <t xml:space="preserve">IA que capta voz ciudadana en debates guiados y clasifica cada enunciado en metas ODS, generando visualizaciones para la planificación territorial</t>
  </si>
  <si>
    <t xml:space="preserve">UNFPA Colombia (Laboratorio de Innovación) y Personería de Medellín</t>
  </si>
  <si>
    <t xml:space="preserve">Fue en 2019, pero parece que sí usaron herramientas de IA - IA no entendida como IA generativa</t>
  </si>
  <si>
    <t xml:space="preserve">https://colombia.unfpa.org/es/news/primeros-resultados-de-echo-en-colombia</t>
  </si>
  <si>
    <t xml:space="preserve">organización internacional; gobierno local</t>
  </si>
  <si>
    <t xml:space="preserve">Voz a Texto; NLP; LLM</t>
  </si>
  <si>
    <t xml:space="preserve">Tenemos que hablar de Colombia</t>
  </si>
  <si>
    <t xml:space="preserve">CO-tenemos-que-hablar-de-colombia</t>
  </si>
  <si>
    <t xml:space="preserve">Plataforma colaborativa de diálogo e incidencia ciudadana para la conversación entre diversos actores de la sociedad colombiana, surgido a partir de eventos de manifestaciones sociales.</t>
  </si>
  <si>
    <t xml:space="preserve">Alianza entre seis universidades colombianas (EAFIT, Universidad Nacional de Colombia, Universidad de los Andes, Universidad del Valle, Universidad del Norte y Universidad Industrial de Santander), con el apoyo del Grupo SURA y la Fundación Ideas para la Paz.</t>
  </si>
  <si>
    <t xml:space="preserve">Caso existe, pero las URLs ya no funcionan. URL reemplazada por Archive.</t>
  </si>
  <si>
    <t xml:space="preserve">https://web.archive.org/web/20230602174845/https://tenemosquehablarcolombia.co/</t>
  </si>
  <si>
    <t xml:space="preserve">universidad; empresa; sociedad civil</t>
  </si>
  <si>
    <t xml:space="preserve">NLP - Tópicos; NLP - Sentiment</t>
  </si>
  <si>
    <t xml:space="preserve">CU</t>
  </si>
  <si>
    <t xml:space="preserve">Consulta Popular Código de las Familias (GEMA-CEN / XISCOP)</t>
  </si>
  <si>
    <t xml:space="preserve">CU-consulta-popular-codigo-de-las-familias</t>
  </si>
  <si>
    <t xml:space="preserve">Consulta popular legislativa nacional sobre el proyecto del Código de las Familias en Cuba, organizada y supervisada por el Consejo Electoral Nacional (CEN). Se desarrolló entre febrero y abril de 2022 mediante más de 79.000 reuniones en barrios, centros laborales y estudiantiles, con la participación de unos 6.481.200 personas que emitieron opiniones y propuestas sobre el articulado del proyecto de ley. Las propuestas recogidas eran revisadas y clasificadas por juristas en el sistema XISCOP y luego procesadas en el sistema GEMA-CEN, que mediante 'análisis inteligente de los expedientes' agrupaba propuestas similares y determinaba 'propuestas típicas' por párrafo/categoría (se determinaron 5.237 propuestas típicas por Título). XISCOP (UCI) emitía además las estadísticas oficiales. El proceso de consulta cerró en abril de 2022; el Código fue aprobado posteriormente en referendo el 25 de septiembre de 2022.</t>
  </si>
  <si>
    <t xml:space="preserve">Consejo Electoral Nacional (CEN) de Cuba como órgano organizador y supervisor de la consulta popular. El procesamiento informático se apoyó en dos sistemas: XISCOP, desarrollado por la Universidad de las Ciencias Informáticas (UCI), para la entrada, revisión, clasificación y estadísticas oficiales; y GEMA-CEN, basado en el producto GEMA de la empresa estatal Datys, para el 'análisis inteligente' y agrupamiento de las propuestas. La Asamblea Nacional del Poder Popular y la Comisión redactora del Ministerio de Justicia recibieron los resultados.</t>
  </si>
  <si>
    <t xml:space="preserve">No se ve participación de GOB, se elimina eso. Una sola de las fuentes funciona.</t>
  </si>
  <si>
    <t xml:space="preserve">https://www.granma.cu/cuba/2022-01-24/herramientas-digitales-seran-claves-durante-la-consulta-popular-del-codigo-de-las-familias-24-01-2022-13-01-18</t>
  </si>
  <si>
    <t xml:space="preserve">Participación Digital; Referendos e Iniciativas Populares</t>
  </si>
  <si>
    <t xml:space="preserve">Privado; Academia</t>
  </si>
  <si>
    <t xml:space="preserve">NLP; Minería de texto; Recuperación de información; Clasificación automática de documentos</t>
  </si>
  <si>
    <t xml:space="preserve">EC</t>
  </si>
  <si>
    <t xml:space="preserve">PAGA IA</t>
  </si>
  <si>
    <t xml:space="preserve">EC-paga-ia</t>
  </si>
  <si>
    <t xml:space="preserve">Plataforma que utiliza inteligencia artificial para asistir en la creación de compromisos de Estado Abierto. Analiza datos de planes de acción de gobierno abierto de Ecuador y otros países de Hispanoamérica para sugerir actividades e hitos relacionados con temas propuestos por los usuarios</t>
  </si>
  <si>
    <t xml:space="preserve">Gobierno Abierto Ecuador, en colaboración con la Fundación de Ayuda por Internet (Fundapi)</t>
  </si>
  <si>
    <t xml:space="preserve">https://ia.gobiernoabierto.ec/
https://ia.gobiernoabierto.ec/acercade</t>
  </si>
  <si>
    <t xml:space="preserve">Referendos e Iniciativas Populares</t>
  </si>
  <si>
    <t xml:space="preserve">gobierno nacional; sociedad civil</t>
  </si>
  <si>
    <t xml:space="preserve">Sociedad Civil</t>
  </si>
  <si>
    <t xml:space="preserve">LLM</t>
  </si>
  <si>
    <t xml:space="preserve">GT</t>
  </si>
  <si>
    <t xml:space="preserve">Guatemala Joven Conversa</t>
  </si>
  <si>
    <t xml:space="preserve">GT-guatemala-joven-conversa</t>
  </si>
  <si>
    <t xml:space="preserve">Iniciativa de diálogos digitales asistidos por inteligencia artificial que reunió a más de 300 jóvenes de los 22 departamentos de Guatemala para discutir temas como la reforma electoral, la participación juvenil en el desarrollo y la lucha contra la corrupción.</t>
  </si>
  <si>
    <t xml:space="preserve">Oficina del Coordinador Residente de las Naciones Unidas en Guatemala y Fundación Esquipulas para la Paz, la Democracia, el Desarrollo y la Integración</t>
  </si>
  <si>
    <t xml:space="preserve">2 URLs ya no funcionaban, pero sí existe y está validada la información.</t>
  </si>
  <si>
    <t xml:space="preserve">https://dppa.medium.com/usando-el-poder-de-la-ia-para-impulsar-la-participaci%C3%B3n-pol%C3%ADtica-de-los-j%C3%B3venes-en-guatemala-6f6d7bf45a47</t>
  </si>
  <si>
    <t xml:space="preserve">organización internacional; sociedad civil</t>
  </si>
  <si>
    <t xml:space="preserve">NLP - Sentiment; NLP - Tópicos</t>
  </si>
  <si>
    <t xml:space="preserve">MX</t>
  </si>
  <si>
    <t xml:space="preserve">Guanajuato InteliGENTE 2024-2030 (Programa de Gobierno del Estado de Guanajuato)</t>
  </si>
  <si>
    <t xml:space="preserve">MX-guanajuato-inteligente-2024-2030</t>
  </si>
  <si>
    <t xml:space="preserve">Elaboración del Programa de Gobierno del Estado de Guanajuato 2024-2030 ('Gobierno de la Gente'), un plan de gobierno construido con participación ciudadana: se recorrió el territorio y se realizaron cuatro talleres regionales (noreste, norte, centro y sur) con representación de los 46 municipios, integrando la voz de más de 26,000 personas mediante talleres y consultas. El contenido fue validado por el Consejo de Planeación para el Desarrollo del Estado de Guanajuato (COPLADEG), conformado por ciudadanía, la Gobernadora, secretarios de cada eje e IPLANEG. Se utilizaron herramientas de inteligencia artificial para procesar y organizar las miles de ideas y propuestas recibidas, identificar las prioridades más mencionadas por la ciudadanía y entender las necesidades de cada región, transformando el diálogo social en datos para la toma de decisiones que alimentaron los ejes del programa. Adicionalmente existe la asistente virtual 'Esperanza' para consultar el programa ya publicado.</t>
  </si>
  <si>
    <t xml:space="preserve">Gobierno del Estado de Guanajuato — Instituto de Planeación, Estadística y Geografía del Estado de Guanajuato (IPLANEG), con validación del COPLADEG. Titular: Gobernadora Libia Dennise García Muñoz Ledo.</t>
  </si>
  <si>
    <t xml:space="preserve">Validado. Se ajustó solo a Gobernanza Colaborativa el proceso.</t>
  </si>
  <si>
    <t xml:space="preserve">https://guanajuatointeligente.com/como-hicimos-el-programa/
https://iplaneg.guanajuato.gob.mx/programagobierno24-30/
https://iplaneg.guanajuato.gob.mx/wp-content/uploads/03-2.05-Diagnostico-Programa-de-Gobierno-2024-2030-_Diagnostico-Estatal-2025_.pdf</t>
  </si>
  <si>
    <t xml:space="preserve">NLP; Otros(no especificado)</t>
  </si>
  <si>
    <t xml:space="preserve">PA</t>
  </si>
  <si>
    <t xml:space="preserve">Mansa Idea (Pacto del Bicentenario "Cerremos la Brecha", Panamá)</t>
  </si>
  <si>
    <t xml:space="preserve">PA-mansa-idea-pacto-del-bicentenario</t>
  </si>
  <si>
    <t xml:space="preserve">Mansa Idea (www.mansaidea.com) es una plataforma digital basada en inteligencia artificial lanzada el 1 de abril de 2024 por la Fundación Panamá Participa (sociedad civil), liderada por Paulina Franceschi. La plataforma organiza y hace navegables más de 175.000 ideas y propuestas ciudadanas generadas durante el Pacto del Bicentenario 'Cerrando Brechas' (proceso participativo nacional convocado por el gobierno de Panamá / Concertación Nacional, presidente Cortizo, 2020-2021), agregando los consensos nacionales y regionales/provinciales por tema en un solo clic. La IA se aplica sobre el CONTENIDO de los aportes ciudadanos (organiza, agrega y sintetiza el corpus de propuestas) para convertirlo en una base de datos navegable. El uso de la IA es un tratamiento PUNTERAL (~2024) de un corpus histórico de un proceso participativo ya cerrado (el Pacto fue 2020-2021), orientado a elevar el nivel de la conversación electoral 2024 y a dotar a candidatos, medios y ciudadanía de una herramienta para alinear planes con las necesidades de la población y monitorear el mandato ciudadano. IMPORTANTE: el proceso participativo original (recolección de aportes) fue convocado por el gobierno; la capa de IA (Mansa Idea) la desarrolla la sociedad civil sobre ese corpus ya recolectado.</t>
  </si>
  <si>
    <t xml:space="preserve">Fundación Panamá Participa (sociedad civil, Panamá), iniciativa liderada por Paulina Franceschi. El proceso participativo de origen (Pacto del Bicentenario 'Cerrando Brechas') fue convocado por el Gobierno de Panamá a través del mecanismo de Concertación Nacional para el Desarrollo (presidente Laurentino Cortizo), con apoyo del PNUD.</t>
  </si>
  <si>
    <t xml:space="preserve">Es puntual, no es claro qué herramienta de IA usaron, pero sí hay trazas que usa.</t>
  </si>
  <si>
    <t xml:space="preserve">https://mansaidea.com/</t>
  </si>
  <si>
    <t xml:space="preserve">Participación Digital</t>
  </si>
  <si>
    <t xml:space="preserve">Traducción</t>
  </si>
  <si>
    <t xml:space="preserve">sociedad civil; gobierno nacional</t>
  </si>
  <si>
    <t xml:space="preserve">null</t>
  </si>
  <si>
    <t xml:space="preserve">PE</t>
  </si>
  <si>
    <t xml:space="preserve">Consulta Ciudadana sobre el Proyecto Nacional de Educación</t>
  </si>
  <si>
    <t xml:space="preserve">PE-consulta-ciudadana-sobre-el-proyecto-nac</t>
  </si>
  <si>
    <t xml:space="preserve">Una consulta pública para recoger opiniones sobre el Proyecto Educativo Nacional 2036, utilizando encuestas en línea, talleres y mesas deliberativas.</t>
  </si>
  <si>
    <t xml:space="preserve">Consejo Nacional de Educación del Perú</t>
  </si>
  <si>
    <t xml:space="preserve">https://www.gob.pe/institucion/cne/noticias/502734-lanzan-consulta-ciudadana-por-el-proyecto-educativo-nacional
https://cdn.www.gob.pe/uploads/document/file/1915017/CNE-%20proyecto-educativo-nacional-al-2036.pdf.pdf?v=1679434080
https://andina.pe/agencia/noticia-usan-inteligencia-artificial-para-formular-proyecto-educativo-nacional-al-2036-777369.aspx</t>
  </si>
  <si>
    <t xml:space="preserve">otra institución pública</t>
  </si>
  <si>
    <t xml:space="preserve">UY</t>
  </si>
  <si>
    <t xml:space="preserve">Pol.is en el Referéndum Nacional de la LUC (Uruguay) — equipo UdelaR</t>
  </si>
  <si>
    <t xml:space="preserve">UY-polis-referendum-luc</t>
  </si>
  <si>
    <t xml:space="preserve">MEDIA (fuente primaria + OCDE 2025; fetch primario bloqueado por proxy, citas vía repo/WebSearch)</t>
  </si>
  <si>
    <t xml:space="preserve">Referéndum nacional para derogar 135 artículos de la Ley de Urgente Consideración (LUC). Un equipo de la Universidad de la República corrió una conversación Pol.is en paralelo al referéndum del 27/03/2022 (documentado como caso 2021).</t>
  </si>
  <si>
    <t xml:space="preserve">Equipo de 13 personas de la Universidad de la República (UdelaR) — ingenieros, comunicadores y científicos de datos; plataforma Pol.is (The Computational Democracy Project)</t>
  </si>
  <si>
    <t xml:space="preserve">https://compdemocracy.org/case-studies/2021-uruguay-national-referendum/</t>
  </si>
  <si>
    <t xml:space="preserve">Clustering; ML - Inespecífico</t>
  </si>
  <si>
    <t xml:space="preserve">VE</t>
  </si>
  <si>
    <t xml:space="preserve">Plan de la Patria 7 Transformaciones (7T) — IA y Big Data en la sistematización de propuestas de la Consulta Popular</t>
  </si>
  <si>
    <t xml:space="preserve">VE-plan-de-la-patria-7t</t>
  </si>
  <si>
    <t xml:space="preserve">MEDIA-BAJA (IA anunciada por fuente estatal, sin verificación técnica independiente)</t>
  </si>
  <si>
    <t xml:space="preserve">Construcción participativa del Plan de la Patria 2025-2031 («7 Transformaciones», 7T) mediante el método Consulta-Debate-Acción (CDA): asambleas populares deliberativas donde las comunidades presentan y priorizan propuestas (2,5 M+ participantes, +65.000 asambleas, 10.000 comunidades con «Mapa de Soluciones», 34.491 propuestas procesadas y registradas vía Carnet de la Patria). Según la Vicepresidencia Sectorial de Planificación (Ricardo Menéndez, mar-2026), se habrían procesado «más de 500 mil propuestas provenientes de las bases populares, mediante el uso de herramientas de inteligencia artificial y big data» para generar algoritmos y convertir el flujo del poder popular en políticas públicas. El Plan se promulgó como Ley Orgánica (Gaceta Oficial 6.907 Extraordinario, 24-may-2025). CAVEAT: el uso de IA está afirmado SOLO por fuentes estatales, sin detalle técnico ni verificación independiente; existe evidencia independiente de una infraestructura digital real (sistema informático + SIG + base de datos de las 34.491 propuestas + georreferenciación QR del Carnet de la Patria).</t>
  </si>
  <si>
    <t xml:space="preserve">Gobierno Bolivariano de Venezuela — Vicepresidencia Sectorial de Planificación / Ministerio del Poder Popular de Planificación (MPPP), con comunas y consejos comunales. El uso de IA/Big Data fue atribuido por el Vicepresidente Sectorial de Planificación, Ricardo Menéndez (mar-2026).</t>
  </si>
  <si>
    <t xml:space="preserve">http://www.correodelorinoco.gob.ve/venezuela-impulsa-el-debate-sobre-inteligencia-artificial-bajo-principios-de-soberania-y-etica/
https://www.laradiodelsur.com.ve/menendez-alerta-sobre-riesgos-de-la-inteligencia-artificial-y-su-impacto-en-la-libertad-de-pensamiento/
https://radiomundial.com.ve/menendez-alerta-sobre-riesgos-de-la-inteligencia-artificial-y-su-impacto-en-la-libertad-de-pensamiento/
https://es.wikipedia.org/wiki/Plan_de_la_Patria</t>
  </si>
  <si>
    <t xml:space="preserve">ML - Inespecífico</t>
  </si>
  <si>
    <t xml:space="preserve">NOTAS Y SUPUESTOS</t>
  </si>
  <si>
    <t xml:space="preserve">· Leyenda de colores: AZUL = dato validado (coding, pestaña 1). NEGRO = fórmula (columnas derivadas). Las columnas del grupo D se calculan; no se pegan valores.</t>
  </si>
  <si>
    <t xml:space="preserve">· PA · Mansa Idea: la celda «Tipos/familia IA» del insumo contiene «null» (sin sistema de IA técnicamente verificado). Decisión: se cuenta como 0 sistemas de IA para ese caso; «null» no forma parte del catálogo de tokens.</t>
  </si>
  <si>
    <t xml:space="preserve">· OPA Piauí (BR): «Tipos/familia IA» vacío → 0 sistemas para ese caso (BR conserva 11 sistemas por los otros casos).</t>
  </si>
  <si>
    <t xml:space="preserve">· Caducidad de anuncios (config.yaml): un «anuncio» (Nivel=1) caduca a los 2 años sin implementación (año de referencia 2026). BR · Brasil Participativo (Nivel 1, Año 2023): nivel efectivo = 0 por caducidad; no afecta el índice de BR porque OPA Piauí tiene nivel 3. VE · Plan de la Patria 7T (Nivel 1, Año 2025): 2026−2025=1 ≤ 2 → nivel efectivo se mantiene en 1.</t>
  </si>
  <si>
    <t xml:space="preserve">· Tipos/familia IA se comparan como tokens textuales exactos separados por «;»: «LLM» ≠ «LLM generativa», «NLP» ≠ «NLP - Tópicos» (no se fusionan; idéntico al motor 2025). «Otros(no especificado)» de MX sí cuenta como token.</t>
  </si>
  <si>
    <t xml:space="preserve">· Códigos de combinación de convocantes: GL=gobierno local · GN=gobierno nacional · OIP=otra institución pública · EMP=empresa · UNI=universidad · SC=sociedad civil · OI=organización internacional. Una combinación = conjunto de ≥2 tipos que co-convocan una misma iniciativa; se deduplican conjuntos idénticos dentro del país (orden canónico por columna).</t>
  </si>
  <si>
    <t xml:space="preserve">· Origen del desarrollador: se compara con token exacto («;nacional;» / «;internacional;») porque «nacional» es subcadena de «internacional».</t>
  </si>
  <si>
    <t xml:space="preserve">Índice ILIA 2026 — IA en Participación Ciudadana (por país · metodología CENIA v2)</t>
  </si>
  <si>
    <t xml:space="preserve">País</t>
  </si>
  <si>
    <t xml:space="preserve">N iniciativas</t>
  </si>
  <si>
    <t xml:space="preserve">nº tipos</t>
  </si>
  <si>
    <t xml:space="preserve">V1 Tipos de proceso</t>
  </si>
  <si>
    <t xml:space="preserve">nº etapas</t>
  </si>
  <si>
    <t xml:space="preserve">V2 Etapas de uso</t>
  </si>
  <si>
    <t xml:space="preserve">nivel máx (efectivo)</t>
  </si>
  <si>
    <t xml:space="preserve">V3 Continuidad</t>
  </si>
  <si>
    <t xml:space="preserve">nº tipos gub</t>
  </si>
  <si>
    <t xml:space="preserve">nº tipos no-gub</t>
  </si>
  <si>
    <t xml:space="preserve">nº combinaciones</t>
  </si>
  <si>
    <t xml:space="preserve">V4 Convocante</t>
  </si>
  <si>
    <t xml:space="preserve">V5 Cantidad</t>
  </si>
  <si>
    <t xml:space="preserve">Sub1 Uso</t>
  </si>
  <si>
    <t xml:space="preserve">dev nac</t>
  </si>
  <si>
    <t xml:space="preserve">dev int</t>
  </si>
  <si>
    <t xml:space="preserve">V-Desarrollador</t>
  </si>
  <si>
    <t xml:space="preserve">nº sistemas IA</t>
  </si>
  <si>
    <t xml:space="preserve">V-Tipos de IA</t>
  </si>
  <si>
    <t xml:space="preserve">Sub2 Desarrollo</t>
  </si>
  <si>
    <t xml:space="preserve">Sub1 red.</t>
  </si>
  <si>
    <t xml:space="preserve">Sub2 red.</t>
  </si>
  <si>
    <t xml:space="preserve">Indicador final</t>
  </si>
  <si>
    <t xml:space="preserve">Indicador sin redondear</t>
  </si>
  <si>
    <t xml:space="preserve">AR</t>
  </si>
  <si>
    <t xml:space="preserve">CR</t>
  </si>
  <si>
    <t xml:space="preserve">DO</t>
  </si>
  <si>
    <t xml:space="preserve">HN</t>
  </si>
  <si>
    <t xml:space="preserve">JM</t>
  </si>
  <si>
    <t xml:space="preserve">PY</t>
  </si>
  <si>
    <t xml:space="preserve">SV</t>
  </si>
  <si>
    <t xml:space="preserve">TT</t>
  </si>
  <si>
    <t xml:space="preserve">PARÁMETROS DEL CICLO (celdas de entrada en azul; máximos por fórmula)</t>
  </si>
  <si>
    <t xml:space="preserve">Año de referencia del ciclo</t>
  </si>
  <si>
    <t xml:space="preserve">Caducidad de anuncio (años)</t>
  </si>
  <si>
    <t xml:space="preserve">Umbrales de Cantidad de iniciativas</t>
  </si>
  <si>
    <t xml:space="preserve">tramo</t>
  </si>
  <si>
    <t xml:space="preserve">mín (N)</t>
  </si>
  <si>
    <t xml:space="preserve">máx (N)</t>
  </si>
  <si>
    <t xml:space="preserve">valor</t>
  </si>
  <si>
    <t xml:space="preserve">—</t>
  </si>
  <si>
    <t xml:space="preserve">Máximos relativos del ciclo (fórmulas MAX)</t>
  </si>
  <si>
    <t xml:space="preserve">Máx. combinaciones</t>
  </si>
  <si>
    <t xml:space="preserve">Máx. desarrolladores nacionales</t>
  </si>
  <si>
    <t xml:space="preserve">Máx. desarrolladores internacionales</t>
  </si>
  <si>
    <t xml:space="preserve">Máx. sistemas de IA</t>
  </si>
  <si>
    <t xml:space="preserve">GRILLA — Presencia de Tipos de Proceso (20 países × 5)</t>
  </si>
  <si>
    <t xml:space="preserve">Presupuestos Participativos</t>
  </si>
  <si>
    <t xml:space="preserve">GRILLA — Presencia de Etapas de uso (20 × 4)</t>
  </si>
  <si>
    <t xml:space="preserve">Planificación</t>
  </si>
  <si>
    <t xml:space="preserve">Traducción Política</t>
  </si>
  <si>
    <t xml:space="preserve">GRILLA — Convocante gubernamental (20 × 3)</t>
  </si>
  <si>
    <t xml:space="preserve">GRILLA — Convocante no gubernamental (20 × 4)</t>
  </si>
  <si>
    <t xml:space="preserve">empresa</t>
  </si>
  <si>
    <t xml:space="preserve">sociedad civil</t>
  </si>
  <si>
    <t xml:space="preserve">organización internacional</t>
  </si>
  <si>
    <t xml:space="preserve">GRILLA — Desarrollador NACIONAL (20 × 4)</t>
  </si>
  <si>
    <t xml:space="preserve">GRILLA — Desarrollador INTERNACIONAL (20 × 4)</t>
  </si>
  <si>
    <t xml:space="preserve">GRILLA — Sistemas de IA (25 tokens × 20 países) · TOTAL por país = nº sistemas</t>
  </si>
  <si>
    <t xml:space="preserve">Token / sistema</t>
  </si>
  <si>
    <t xml:space="preserve">voz a texto</t>
  </si>
  <si>
    <t xml:space="preserve">nlp</t>
  </si>
  <si>
    <t xml:space="preserve">nlp - tópicos</t>
  </si>
  <si>
    <t xml:space="preserve">topic modeling</t>
  </si>
  <si>
    <t xml:space="preserve">clustering semántico</t>
  </si>
  <si>
    <t xml:space="preserve">clasificación de texto</t>
  </si>
  <si>
    <t xml:space="preserve">embeddings</t>
  </si>
  <si>
    <t xml:space="preserve">llm</t>
  </si>
  <si>
    <t xml:space="preserve">moderación/facilitación automatizada</t>
  </si>
  <si>
    <t xml:space="preserve">sistema de reglas/temporización</t>
  </si>
  <si>
    <t xml:space="preserve">búsqueda semántica</t>
  </si>
  <si>
    <t xml:space="preserve">llm generativa</t>
  </si>
  <si>
    <t xml:space="preserve">modelado de tópicos (lda)</t>
  </si>
  <si>
    <t xml:space="preserve">redes neuronales recurrentes (rnn)</t>
  </si>
  <si>
    <t xml:space="preserve">random forest</t>
  </si>
  <si>
    <t xml:space="preserve">clasificación de emociones</t>
  </si>
  <si>
    <t xml:space="preserve">machine learning</t>
  </si>
  <si>
    <t xml:space="preserve">muestreo estadístico asistido por ia</t>
  </si>
  <si>
    <t xml:space="preserve">nlp - sentiment</t>
  </si>
  <si>
    <t xml:space="preserve">minería de texto</t>
  </si>
  <si>
    <t xml:space="preserve">recuperación de información</t>
  </si>
  <si>
    <t xml:space="preserve">clasificación automática de documentos</t>
  </si>
  <si>
    <t xml:space="preserve">otros(no especificado)</t>
  </si>
  <si>
    <t xml:space="preserve">clustering</t>
  </si>
  <si>
    <t xml:space="preserve">ml - inespecífico</t>
  </si>
  <si>
    <t xml:space="preserve">TOTAL (nº sistemas)</t>
  </si>
  <si>
    <t xml:space="preserve">LEYENDA Y NOTAS DE CÁLCULO</t>
  </si>
  <si>
    <t xml:space="preserve">· Indicador país = (Sub1 Uso + Sub2 Desarrollo) / 2. Sub1 = promedio simple de V1..V5 (todas 0-100). Sub2 = promedio(V-Desarrollador, V-Tipos de IA).</t>
  </si>
  <si>
    <t xml:space="preserve">· V1 Tipos de proceso = nº tipos ÷ 5 × 100 · V2 Etapas = nº etapas ÷ 4 × 100 · V3 Continuidad = nivel máx (efectivo) ÷ 3 × 100.</t>
  </si>
  <si>
    <t xml:space="preserve">· V4 Convocante = (amplitud gub ÷3 + amplitud no-gub ÷4 + combinaciones ÷ máx. relativo) ÷ 3 × 100 (co-convocatoria=0 si el máximo del ciclo es 0).</t>
  </si>
  <si>
    <t xml:space="preserve">· V5 Cantidad = nº de iniciativas elegibles (Cuenta como iniciativa = «sí») aplicado a los umbrales fijos 0→0 / 1-3→25 / 4-6→50 / 7-9→75 / 10+→100.</t>
  </si>
  <si>
    <t xml:space="preserve">· V-Desarrollador = (dev nac ÷ máx nac + dev int ÷ máx int) ÷ 2 × 100 · V-Tipos de IA = nº sistemas ÷ máx sistemas × 100 (máximos relativos del ciclo).</t>
  </si>
  <si>
    <t xml:space="preserve">· Redondeo modo legacy (config.yaml): Sub1 red.=ROUND(Sub1;0), Sub2 red.=ROUND(Sub2;0), Indicador final=ROUND((Sub1 red.+Sub2 red.)/2;0). Nota: ROUND de Excel redondea .5 hacia arriba. La última columna muestra el indicador sin redondear (1 decimal).</t>
  </si>
  <si>
    <t xml:space="preserve">· Todas las celdas numéricas son fórmulas que referencian la pestaña 1 o las grillas/parámetros de esta pestaña; guardas anti división por cero en V4, V-Desarrollador y V-Tipos de IA.</t>
  </si>
</sst>
</file>

<file path=xl/styles.xml><?xml version="1.0" encoding="utf-8"?>
<styleSheet xmlns="http://schemas.openxmlformats.org/spreadsheetml/2006/main">
  <numFmts count="4">
    <numFmt numFmtId="164" formatCode="General"/>
    <numFmt numFmtId="165" formatCode="0"/>
    <numFmt numFmtId="166" formatCode="General"/>
    <numFmt numFmtId="167" formatCode="0.0"/>
  </numFmts>
  <fonts count="20">
    <font>
      <sz val="11"/>
      <color theme="1"/>
      <name val="Calibri"/>
      <family val="2"/>
      <charset val="1"/>
    </font>
    <font>
      <sz val="10"/>
      <name val="Arial"/>
      <family val="0"/>
    </font>
    <font>
      <sz val="10"/>
      <name val="Arial"/>
      <family val="0"/>
    </font>
    <font>
      <sz val="10"/>
      <name val="Arial"/>
      <family val="0"/>
    </font>
    <font>
      <b val="true"/>
      <sz val="9"/>
      <color rgb="FFFFFFFF"/>
      <name val="Arial"/>
      <family val="0"/>
      <charset val="1"/>
    </font>
    <font>
      <sz val="10"/>
      <color rgb="FF000000"/>
      <name val="Arial"/>
      <family val="0"/>
      <charset val="1"/>
    </font>
    <font>
      <sz val="8"/>
      <color rgb="FF000000"/>
      <name val="Arial"/>
      <family val="0"/>
      <charset val="1"/>
    </font>
    <font>
      <sz val="7"/>
      <color rgb="FF1155CC"/>
      <name val="Arial"/>
      <family val="0"/>
      <charset val="1"/>
    </font>
    <font>
      <sz val="9"/>
      <color rgb="FF0000FF"/>
      <name val="Arial"/>
      <family val="0"/>
      <charset val="1"/>
    </font>
    <font>
      <sz val="7"/>
      <color rgb="FF000000"/>
      <name val="Arial"/>
      <family val="0"/>
      <charset val="1"/>
    </font>
    <font>
      <sz val="9"/>
      <color rgb="FF000000"/>
      <name val="Arial"/>
      <family val="0"/>
      <charset val="1"/>
    </font>
    <font>
      <b val="true"/>
      <sz val="11"/>
      <color rgb="FF1F4E79"/>
      <name val="Arial"/>
      <family val="0"/>
      <charset val="1"/>
    </font>
    <font>
      <b val="true"/>
      <sz val="12"/>
      <color rgb="FF1F4E79"/>
      <name val="Arial"/>
      <family val="0"/>
      <charset val="1"/>
    </font>
    <font>
      <b val="true"/>
      <sz val="8"/>
      <color rgb="FFFFFFFF"/>
      <name val="Arial"/>
      <family val="0"/>
      <charset val="1"/>
    </font>
    <font>
      <b val="true"/>
      <sz val="9"/>
      <color rgb="FF000000"/>
      <name val="Arial"/>
      <family val="0"/>
      <charset val="1"/>
    </font>
    <font>
      <b val="true"/>
      <sz val="10"/>
      <color rgb="FF1F4E79"/>
      <name val="Arial"/>
      <family val="0"/>
      <charset val="1"/>
    </font>
    <font>
      <b val="true"/>
      <sz val="9"/>
      <color rgb="FF0000FF"/>
      <name val="Arial"/>
      <family val="0"/>
      <charset val="1"/>
    </font>
    <font>
      <b val="true"/>
      <sz val="9"/>
      <color rgb="FF1F4E79"/>
      <name val="Arial"/>
      <family val="0"/>
      <charset val="1"/>
    </font>
    <font>
      <b val="true"/>
      <sz val="8"/>
      <color rgb="FF000000"/>
      <name val="Arial"/>
      <family val="0"/>
      <charset val="1"/>
    </font>
    <font>
      <b val="true"/>
      <sz val="10"/>
      <color rgb="FF385723"/>
      <name val="Arial"/>
      <family val="0"/>
      <charset val="1"/>
    </font>
  </fonts>
  <fills count="9">
    <fill>
      <patternFill patternType="none"/>
    </fill>
    <fill>
      <patternFill patternType="gray125"/>
    </fill>
    <fill>
      <patternFill patternType="solid">
        <fgColor rgb="FF1F4E79"/>
        <bgColor rgb="FF003366"/>
      </patternFill>
    </fill>
    <fill>
      <patternFill patternType="solid">
        <fgColor rgb="FF385723"/>
        <bgColor rgb="FF404040"/>
      </patternFill>
    </fill>
    <fill>
      <patternFill patternType="solid">
        <fgColor rgb="FF833C00"/>
        <bgColor rgb="FF993366"/>
      </patternFill>
    </fill>
    <fill>
      <patternFill patternType="solid">
        <fgColor rgb="FF404040"/>
        <bgColor rgb="FF385723"/>
      </patternFill>
    </fill>
    <fill>
      <patternFill patternType="solid">
        <fgColor rgb="FFFCE4D6"/>
        <bgColor rgb="FFFFF2CC"/>
      </patternFill>
    </fill>
    <fill>
      <patternFill patternType="solid">
        <fgColor rgb="FFFFF2CC"/>
        <bgColor rgb="FFFCE4D6"/>
      </patternFill>
    </fill>
    <fill>
      <patternFill patternType="solid">
        <fgColor rgb="FFD9E1F2"/>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center" vertical="center" textRotation="0" wrapText="false" indent="0" shrinkToFit="false"/>
      <protection locked="true" hidden="false"/>
    </xf>
    <xf numFmtId="165" fontId="10" fillId="0" borderId="0" xfId="0" applyFont="true" applyBorder="false" applyAlignment="true" applyProtection="false">
      <alignment horizontal="center" vertical="center" textRotation="0" wrapText="false" indent="0" shrinkToFit="false"/>
      <protection locked="true" hidden="false"/>
    </xf>
    <xf numFmtId="166" fontId="10"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7" fontId="10" fillId="0" borderId="1" xfId="0" applyFont="true" applyBorder="true" applyAlignment="true" applyProtection="false">
      <alignment horizontal="center" vertical="center" textRotation="0" wrapText="false" indent="0" shrinkToFit="false"/>
      <protection locked="true" hidden="false"/>
    </xf>
    <xf numFmtId="165" fontId="14" fillId="6"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6" fillId="7" borderId="1"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7"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6" fontId="14" fillId="7" borderId="1"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8" fillId="8" borderId="1"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64" fontId="18" fillId="8" borderId="0" xfId="0" applyFont="true" applyBorder="fals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6" fontId="18"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4E79"/>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385723"/>
          <bgColor rgb="FF000000"/>
        </patternFill>
      </fill>
    </dxf>
    <dxf>
      <fill>
        <patternFill patternType="solid">
          <fgColor rgb="FF1155CC"/>
          <bgColor rgb="FF000000"/>
        </patternFill>
      </fill>
    </dxf>
    <dxf>
      <fill>
        <patternFill patternType="solid">
          <fgColor rgb="FF833C00"/>
          <bgColor rgb="FF000000"/>
        </patternFill>
      </fill>
    </dxf>
    <dxf>
      <fill>
        <patternFill patternType="solid">
          <fgColor rgb="FF0000FF"/>
          <bgColor rgb="FF000000"/>
        </patternFill>
      </fill>
    </dxf>
    <dxf>
      <fill>
        <patternFill patternType="solid">
          <fgColor rgb="FF40404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1155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85723"/>
      <rgbColor rgb="FF833C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24"/>
    <col collapsed="false" customWidth="true" hidden="false" outlineLevel="0" max="4" min="4" style="0" width="6"/>
    <col collapsed="false" customWidth="true" hidden="false" outlineLevel="0" max="5" min="5" style="0" width="16"/>
    <col collapsed="false" customWidth="true" hidden="false" outlineLevel="0" max="6" min="6" style="0" width="46"/>
    <col collapsed="false" customWidth="true" hidden="false" outlineLevel="0" max="8" min="7" style="0" width="34"/>
    <col collapsed="false" customWidth="true" hidden="false" outlineLevel="0" max="9" min="9" style="0" width="30"/>
    <col collapsed="false" customWidth="true" hidden="false" outlineLevel="0" max="10" min="10" style="0" width="34"/>
    <col collapsed="false" customWidth="true" hidden="false" outlineLevel="0" max="11" min="11" style="0" width="10"/>
    <col collapsed="false" customWidth="true" hidden="false" outlineLevel="0" max="12" min="12" style="0" width="22"/>
    <col collapsed="false" customWidth="true" hidden="false" outlineLevel="0" max="13" min="13" style="0" width="16"/>
    <col collapsed="false" customWidth="true" hidden="false" outlineLevel="0" max="14" min="14" style="0" width="7"/>
    <col collapsed="false" customWidth="true" hidden="false" outlineLevel="0" max="15" min="15" style="0" width="12"/>
    <col collapsed="false" customWidth="true" hidden="false" outlineLevel="0" max="16" min="16" style="0" width="20"/>
    <col collapsed="false" customWidth="true" hidden="false" outlineLevel="0" max="18" min="17" style="0" width="9"/>
    <col collapsed="false" customWidth="true" hidden="false" outlineLevel="0" max="19" min="19" style="0" width="16"/>
    <col collapsed="false" customWidth="true" hidden="false" outlineLevel="0" max="20" min="20" style="0" width="14"/>
    <col collapsed="false" customWidth="true" hidden="false" outlineLevel="0" max="21" min="21" style="0" width="26"/>
    <col collapsed="false" customWidth="true" hidden="false" outlineLevel="0" max="22" min="22" style="0" width="8"/>
    <col collapsed="false" customWidth="true" hidden="false" outlineLevel="0" max="53" min="23" style="0" width="12"/>
  </cols>
  <sheetData>
    <row r="1" customFormat="false" ht="53.7" hidden="false" customHeight="false" outlineLevel="0" collapsed="false">
      <c r="A1" s="1" t="s">
        <v>0</v>
      </c>
      <c r="B1" s="1" t="s">
        <v>1</v>
      </c>
      <c r="C1" s="1" t="s">
        <v>2</v>
      </c>
      <c r="D1" s="1" t="s">
        <v>3</v>
      </c>
      <c r="E1" s="1" t="s">
        <v>4</v>
      </c>
      <c r="F1" s="2" t="s">
        <v>5</v>
      </c>
      <c r="G1" s="2" t="s">
        <v>6</v>
      </c>
      <c r="H1" s="2" t="s">
        <v>7</v>
      </c>
      <c r="I1" s="2" t="s">
        <v>8</v>
      </c>
      <c r="J1" s="2" t="s">
        <v>9</v>
      </c>
      <c r="K1" s="3" t="s">
        <v>10</v>
      </c>
      <c r="L1" s="3" t="s">
        <v>11</v>
      </c>
      <c r="M1" s="3" t="s">
        <v>12</v>
      </c>
      <c r="N1" s="3" t="s">
        <v>13</v>
      </c>
      <c r="O1" s="3" t="s">
        <v>14</v>
      </c>
      <c r="P1" s="3" t="s">
        <v>15</v>
      </c>
      <c r="Q1" s="3" t="s">
        <v>16</v>
      </c>
      <c r="R1" s="3" t="s">
        <v>17</v>
      </c>
      <c r="S1" s="3" t="s">
        <v>18</v>
      </c>
      <c r="T1" s="3" t="s">
        <v>19</v>
      </c>
      <c r="U1" s="3" t="s">
        <v>20</v>
      </c>
      <c r="V1" s="3"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row>
    <row r="2" customFormat="false" ht="45.75" hidden="false" customHeight="true" outlineLevel="0" collapsed="false">
      <c r="A2" s="5" t="s">
        <v>53</v>
      </c>
      <c r="B2" s="5" t="s">
        <v>54</v>
      </c>
      <c r="C2" s="6" t="s">
        <v>55</v>
      </c>
      <c r="D2" s="7" t="n">
        <v>2023</v>
      </c>
      <c r="E2" s="6" t="s">
        <v>56</v>
      </c>
      <c r="F2" s="6" t="s">
        <v>57</v>
      </c>
      <c r="G2" s="6" t="s">
        <v>58</v>
      </c>
      <c r="H2" s="6"/>
      <c r="I2" s="6"/>
      <c r="J2" s="8" t="s">
        <v>59</v>
      </c>
      <c r="K2" s="9" t="s">
        <v>60</v>
      </c>
      <c r="L2" s="9" t="s">
        <v>61</v>
      </c>
      <c r="M2" s="9" t="s">
        <v>62</v>
      </c>
      <c r="N2" s="10" t="n">
        <v>2</v>
      </c>
      <c r="O2" s="9" t="s">
        <v>63</v>
      </c>
      <c r="P2" s="9" t="s">
        <v>64</v>
      </c>
      <c r="Q2" s="9" t="s">
        <v>65</v>
      </c>
      <c r="R2" s="9" t="s">
        <v>66</v>
      </c>
      <c r="S2" s="9" t="s">
        <v>67</v>
      </c>
      <c r="T2" s="9" t="s">
        <v>68</v>
      </c>
      <c r="U2" s="9" t="s">
        <v>69</v>
      </c>
      <c r="V2" s="9" t="s">
        <v>70</v>
      </c>
      <c r="W2" s="11" t="str">
        <f aca="false">";"&amp;LOWER(SUBSTITUTE(SUBSTITUTE(SUBSTITUTE(L2,"; ",";"),", ",";"),",",";"))&amp;";"</f>
        <v>;participación digital;gobernanza colaborativa;</v>
      </c>
      <c r="X2" s="11" t="str">
        <f aca="false">";"&amp;LOWER(SUBSTITUTE(SUBSTITUTE(SUBSTITUTE(M2,"; ",";"),", ",";"),",",";"))&amp;";"</f>
        <v>;análisis;</v>
      </c>
      <c r="Y2" s="11" t="str">
        <f aca="false">";"&amp;LOWER(SUBSTITUTE(SUBSTITUTE(SUBSTITUTE(P2,"; ",";"),", ",";"),",",";"))&amp;";"</f>
        <v>;gobierno nacional;</v>
      </c>
      <c r="Z2" s="11" t="str">
        <f aca="false">";"&amp;LOWER(SUBSTITUTE(SUBSTITUTE(SUBSTITUTE(S2,"; ",";"),", ",";"),",",";"))&amp;";"</f>
        <v>;privado;</v>
      </c>
      <c r="AA2" s="11" t="str">
        <f aca="false">";"&amp;LOWER(SUBSTITUTE(SUBSTITUTE(SUBSTITUTE(T2,"; ",";"),", ",";"),",",";"))&amp;";"</f>
        <v>;nacional;</v>
      </c>
      <c r="AB2" s="11" t="str">
        <f aca="false">";"&amp;LOWER(SUBSTITUTE(SUBSTITUTE(SUBSTITUTE(U2,"; ",";"),", ",";"),",",";"))&amp;";"</f>
        <v>;voz a texto;nlp;</v>
      </c>
      <c r="AC2" s="12" t="n">
        <f aca="false">IF(ISNUMBER(SEARCH(";participación digital;",W2)),1,0)</f>
        <v>1</v>
      </c>
      <c r="AD2" s="12" t="n">
        <f aca="false">IF(ISNUMBER(SEARCH(";gobernanza colaborativa;",W2)),1,0)</f>
        <v>1</v>
      </c>
      <c r="AE2" s="12" t="n">
        <f aca="false">IF(ISNUMBER(SEARCH(";mini públicos;",W2)),1,0)</f>
        <v>0</v>
      </c>
      <c r="AF2" s="12" t="n">
        <f aca="false">IF(ISNUMBER(SEARCH(";referendos e iniciativas populares;",W2)),1,0)</f>
        <v>0</v>
      </c>
      <c r="AG2" s="12" t="n">
        <f aca="false">IF(ISNUMBER(SEARCH(";presupuestos participativos;",W2)),1,0)</f>
        <v>0</v>
      </c>
      <c r="AH2" s="12" t="n">
        <f aca="false">IF(ISNUMBER(SEARCH(";planificación;",X2)),1,0)</f>
        <v>0</v>
      </c>
      <c r="AI2" s="12" t="n">
        <f aca="false">IF(ISNUMBER(SEARCH(";implementación;",X2)),1,0)</f>
        <v>0</v>
      </c>
      <c r="AJ2" s="12" t="n">
        <f aca="false">IF(ISNUMBER(SEARCH(";análisis;",X2)),1,0)</f>
        <v>1</v>
      </c>
      <c r="AK2" s="12" t="n">
        <f aca="false">IF(ISNUMBER(SEARCH("traducción",X2)),1,0)</f>
        <v>0</v>
      </c>
      <c r="AL2" s="12" t="n">
        <f aca="false">IF(ISNUMBER(SEARCH(";gobierno local;",Y2)),1,0)</f>
        <v>0</v>
      </c>
      <c r="AM2" s="12" t="n">
        <f aca="false">IF(ISNUMBER(SEARCH(";gobierno nacional;",Y2)),1,0)</f>
        <v>1</v>
      </c>
      <c r="AN2" s="12" t="n">
        <f aca="false">IF(ISNUMBER(SEARCH(";otra institución pública;",Y2)),1,0)</f>
        <v>0</v>
      </c>
      <c r="AO2" s="12" t="n">
        <f aca="false">IF(ISNUMBER(SEARCH(";empresa;",Y2)),1,0)</f>
        <v>0</v>
      </c>
      <c r="AP2" s="12" t="n">
        <f aca="false">IF(ISNUMBER(SEARCH(";universidad;",Y2)),1,0)</f>
        <v>0</v>
      </c>
      <c r="AQ2" s="12" t="n">
        <f aca="false">IF(ISNUMBER(SEARCH(";sociedad civil;",Y2)),1,0)</f>
        <v>0</v>
      </c>
      <c r="AR2" s="12" t="n">
        <f aca="false">IF(ISNUMBER(SEARCH(";organización internacional;",Y2)),1,0)</f>
        <v>0</v>
      </c>
      <c r="AS2" s="12" t="n">
        <f aca="false">IF(ISNUMBER(SEARCH(";privado;",Z2)),1,0)</f>
        <v>1</v>
      </c>
      <c r="AT2" s="12" t="n">
        <f aca="false">IF(ISNUMBER(SEARCH(";academia;",Z2)),1,0)</f>
        <v>0</v>
      </c>
      <c r="AU2" s="12" t="n">
        <f aca="false">IF(ISNUMBER(SEARCH(";gobierno;",Z2)),1,0)</f>
        <v>0</v>
      </c>
      <c r="AV2" s="12" t="n">
        <f aca="false">IF(ISNUMBER(SEARCH(";sociedad civil;",Z2)),1,0)</f>
        <v>0</v>
      </c>
      <c r="AW2" s="12" t="n">
        <f aca="false">IF(ISNUMBER(SEARCH(";nacional;",AA2)),1,0)</f>
        <v>1</v>
      </c>
      <c r="AX2" s="12" t="n">
        <f aca="false">IF(ISNUMBER(SEARCH(";internacional;",AA2)),1,0)</f>
        <v>0</v>
      </c>
      <c r="AY2" s="13" t="n">
        <f aca="false">IF(AND(N2=1,('2 · Índice por país'!$B$25-D2)&gt;'2 · Índice por país'!$B$26),0,N2)</f>
        <v>2</v>
      </c>
      <c r="AZ2" s="12" t="str">
        <f aca="false">IF(SUM(AL2:AR2)&lt;2,"",IF(AL2=1,"GL+","")&amp;IF(AM2=1,"GN+","")&amp;IF(AN2=1,"OIP+","")&amp;IF(AO2=1,"EMP+","")&amp;IF(AP2=1,"UNI+","")&amp;IF(AQ2=1,"SC+","")&amp;IF(AR2=1,"OI+",""))</f>
        <v/>
      </c>
      <c r="BA2" s="12" t="n">
        <f aca="false">IF(AZ2="",0,IF(COUNTIFS($A$1:$A1,A2,$AZ$1:$AZ1,AZ2)=0,1,0))</f>
        <v>0</v>
      </c>
    </row>
    <row r="3" customFormat="false" ht="45.75" hidden="false" customHeight="true" outlineLevel="0" collapsed="false">
      <c r="A3" s="5" t="s">
        <v>71</v>
      </c>
      <c r="B3" s="5" t="s">
        <v>72</v>
      </c>
      <c r="C3" s="6" t="s">
        <v>73</v>
      </c>
      <c r="D3" s="7" t="n">
        <v>2021</v>
      </c>
      <c r="E3" s="6" t="s">
        <v>74</v>
      </c>
      <c r="F3" s="6" t="s">
        <v>75</v>
      </c>
      <c r="G3" s="6" t="s">
        <v>76</v>
      </c>
      <c r="H3" s="6"/>
      <c r="I3" s="6"/>
      <c r="J3" s="8" t="s">
        <v>77</v>
      </c>
      <c r="K3" s="9" t="s">
        <v>60</v>
      </c>
      <c r="L3" s="9" t="s">
        <v>78</v>
      </c>
      <c r="M3" s="9" t="s">
        <v>79</v>
      </c>
      <c r="N3" s="10" t="n">
        <v>2</v>
      </c>
      <c r="O3" s="9" t="s">
        <v>63</v>
      </c>
      <c r="P3" s="9" t="s">
        <v>80</v>
      </c>
      <c r="Q3" s="9" t="s">
        <v>65</v>
      </c>
      <c r="R3" s="9" t="s">
        <v>66</v>
      </c>
      <c r="S3" s="9" t="s">
        <v>67</v>
      </c>
      <c r="T3" s="9" t="s">
        <v>81</v>
      </c>
      <c r="U3" s="9" t="s">
        <v>82</v>
      </c>
      <c r="V3" s="9" t="s">
        <v>83</v>
      </c>
      <c r="W3" s="11" t="str">
        <f aca="false">";"&amp;LOWER(SUBSTITUTE(SUBSTITUTE(SUBSTITUTE(L3,"; ",";"),", ",";"),",",";"))&amp;";"</f>
        <v>;gobernanza colaborativa;</v>
      </c>
      <c r="X3" s="11" t="str">
        <f aca="false">";"&amp;LOWER(SUBSTITUTE(SUBSTITUTE(SUBSTITUTE(M3,"; ",";"),", ",";"),",",";"))&amp;";"</f>
        <v>;implementación;análisis;</v>
      </c>
      <c r="Y3" s="11" t="str">
        <f aca="false">";"&amp;LOWER(SUBSTITUTE(SUBSTITUTE(SUBSTITUTE(P3,"; ",";"),", ",";"),",",";"))&amp;";"</f>
        <v>;gobierno nacional;organización internacional;</v>
      </c>
      <c r="Z3" s="11" t="str">
        <f aca="false">";"&amp;LOWER(SUBSTITUTE(SUBSTITUTE(SUBSTITUTE(S3,"; ",";"),", ",";"),",",";"))&amp;";"</f>
        <v>;privado;</v>
      </c>
      <c r="AA3" s="11" t="str">
        <f aca="false">";"&amp;LOWER(SUBSTITUTE(SUBSTITUTE(SUBSTITUTE(T3,"; ",";"),", ",";"),",",";"))&amp;";"</f>
        <v>;internacional;</v>
      </c>
      <c r="AB3" s="11" t="str">
        <f aca="false">";"&amp;LOWER(SUBSTITUTE(SUBSTITUTE(SUBSTITUTE(U3,"; ",";"),", ",";"),",",";"))&amp;";"</f>
        <v>;nlp - tópicos;</v>
      </c>
      <c r="AC3" s="12" t="n">
        <f aca="false">IF(ISNUMBER(SEARCH(";participación digital;",W3)),1,0)</f>
        <v>0</v>
      </c>
      <c r="AD3" s="12" t="n">
        <f aca="false">IF(ISNUMBER(SEARCH(";gobernanza colaborativa;",W3)),1,0)</f>
        <v>1</v>
      </c>
      <c r="AE3" s="12" t="n">
        <f aca="false">IF(ISNUMBER(SEARCH(";mini públicos;",W3)),1,0)</f>
        <v>0</v>
      </c>
      <c r="AF3" s="12" t="n">
        <f aca="false">IF(ISNUMBER(SEARCH(";referendos e iniciativas populares;",W3)),1,0)</f>
        <v>0</v>
      </c>
      <c r="AG3" s="12" t="n">
        <f aca="false">IF(ISNUMBER(SEARCH(";presupuestos participativos;",W3)),1,0)</f>
        <v>0</v>
      </c>
      <c r="AH3" s="12" t="n">
        <f aca="false">IF(ISNUMBER(SEARCH(";planificación;",X3)),1,0)</f>
        <v>0</v>
      </c>
      <c r="AI3" s="12" t="n">
        <f aca="false">IF(ISNUMBER(SEARCH(";implementación;",X3)),1,0)</f>
        <v>1</v>
      </c>
      <c r="AJ3" s="12" t="n">
        <f aca="false">IF(ISNUMBER(SEARCH(";análisis;",X3)),1,0)</f>
        <v>1</v>
      </c>
      <c r="AK3" s="12" t="n">
        <f aca="false">IF(ISNUMBER(SEARCH("traducción",X3)),1,0)</f>
        <v>0</v>
      </c>
      <c r="AL3" s="12" t="n">
        <f aca="false">IF(ISNUMBER(SEARCH(";gobierno local;",Y3)),1,0)</f>
        <v>0</v>
      </c>
      <c r="AM3" s="12" t="n">
        <f aca="false">IF(ISNUMBER(SEARCH(";gobierno nacional;",Y3)),1,0)</f>
        <v>1</v>
      </c>
      <c r="AN3" s="12" t="n">
        <f aca="false">IF(ISNUMBER(SEARCH(";otra institución pública;",Y3)),1,0)</f>
        <v>0</v>
      </c>
      <c r="AO3" s="12" t="n">
        <f aca="false">IF(ISNUMBER(SEARCH(";empresa;",Y3)),1,0)</f>
        <v>0</v>
      </c>
      <c r="AP3" s="12" t="n">
        <f aca="false">IF(ISNUMBER(SEARCH(";universidad;",Y3)),1,0)</f>
        <v>0</v>
      </c>
      <c r="AQ3" s="12" t="n">
        <f aca="false">IF(ISNUMBER(SEARCH(";sociedad civil;",Y3)),1,0)</f>
        <v>0</v>
      </c>
      <c r="AR3" s="12" t="n">
        <f aca="false">IF(ISNUMBER(SEARCH(";organización internacional;",Y3)),1,0)</f>
        <v>1</v>
      </c>
      <c r="AS3" s="12" t="n">
        <f aca="false">IF(ISNUMBER(SEARCH(";privado;",Z3)),1,0)</f>
        <v>1</v>
      </c>
      <c r="AT3" s="12" t="n">
        <f aca="false">IF(ISNUMBER(SEARCH(";academia;",Z3)),1,0)</f>
        <v>0</v>
      </c>
      <c r="AU3" s="12" t="n">
        <f aca="false">IF(ISNUMBER(SEARCH(";gobierno;",Z3)),1,0)</f>
        <v>0</v>
      </c>
      <c r="AV3" s="12" t="n">
        <f aca="false">IF(ISNUMBER(SEARCH(";sociedad civil;",Z3)),1,0)</f>
        <v>0</v>
      </c>
      <c r="AW3" s="12" t="n">
        <f aca="false">IF(ISNUMBER(SEARCH(";nacional;",AA3)),1,0)</f>
        <v>0</v>
      </c>
      <c r="AX3" s="12" t="n">
        <f aca="false">IF(ISNUMBER(SEARCH(";internacional;",AA3)),1,0)</f>
        <v>1</v>
      </c>
      <c r="AY3" s="13" t="n">
        <f aca="false">IF(AND(N3=1,('2 · Índice por país'!$B$25-D3)&gt;'2 · Índice por país'!$B$26),0,N3)</f>
        <v>2</v>
      </c>
      <c r="AZ3" s="12" t="str">
        <f aca="false">IF(SUM(AL3:AR3)&lt;2,"",IF(AL3=1,"GL+","")&amp;IF(AM3=1,"GN+","")&amp;IF(AN3=1,"OIP+","")&amp;IF(AO3=1,"EMP+","")&amp;IF(AP3=1,"UNI+","")&amp;IF(AQ3=1,"SC+","")&amp;IF(AR3=1,"OI+",""))</f>
        <v>GN+OI+</v>
      </c>
      <c r="BA3" s="12" t="n">
        <f aca="false">IF(AZ3="",0,IF(COUNTIFS($A$1:$A2,A3,$AZ$1:$AZ2,AZ3)=0,1,0))</f>
        <v>1</v>
      </c>
    </row>
    <row r="4" customFormat="false" ht="45.75" hidden="false" customHeight="true" outlineLevel="0" collapsed="false">
      <c r="A4" s="5" t="s">
        <v>53</v>
      </c>
      <c r="B4" s="5" t="s">
        <v>84</v>
      </c>
      <c r="C4" s="6" t="s">
        <v>85</v>
      </c>
      <c r="D4" s="7" t="n">
        <v>2023</v>
      </c>
      <c r="E4" s="6" t="s">
        <v>86</v>
      </c>
      <c r="F4" s="6" t="s">
        <v>87</v>
      </c>
      <c r="G4" s="6" t="s">
        <v>88</v>
      </c>
      <c r="H4" s="6" t="s">
        <v>89</v>
      </c>
      <c r="I4" s="6" t="s">
        <v>90</v>
      </c>
      <c r="J4" s="8"/>
      <c r="K4" s="9" t="s">
        <v>60</v>
      </c>
      <c r="L4" s="9" t="s">
        <v>91</v>
      </c>
      <c r="M4" s="9" t="s">
        <v>62</v>
      </c>
      <c r="N4" s="10" t="n">
        <v>1</v>
      </c>
      <c r="O4" s="9" t="s">
        <v>92</v>
      </c>
      <c r="P4" s="9" t="s">
        <v>64</v>
      </c>
      <c r="Q4" s="9" t="s">
        <v>65</v>
      </c>
      <c r="R4" s="9" t="s">
        <v>66</v>
      </c>
      <c r="S4" s="9" t="s">
        <v>93</v>
      </c>
      <c r="T4" s="9" t="s">
        <v>68</v>
      </c>
      <c r="U4" s="9" t="s">
        <v>94</v>
      </c>
      <c r="V4" s="9" t="s">
        <v>60</v>
      </c>
      <c r="W4" s="11" t="str">
        <f aca="false">";"&amp;LOWER(SUBSTITUTE(SUBSTITUTE(SUBSTITUTE(L4,"; ",";"),", ",";"),",",";"))&amp;";"</f>
        <v>;gobernanza colaborativa;participación digital;</v>
      </c>
      <c r="X4" s="11" t="str">
        <f aca="false">";"&amp;LOWER(SUBSTITUTE(SUBSTITUTE(SUBSTITUTE(M4,"; ",";"),", ",";"),",",";"))&amp;";"</f>
        <v>;análisis;</v>
      </c>
      <c r="Y4" s="11" t="str">
        <f aca="false">";"&amp;LOWER(SUBSTITUTE(SUBSTITUTE(SUBSTITUTE(P4,"; ",";"),", ",";"),",",";"))&amp;";"</f>
        <v>;gobierno nacional;</v>
      </c>
      <c r="Z4" s="11" t="str">
        <f aca="false">";"&amp;LOWER(SUBSTITUTE(SUBSTITUTE(SUBSTITUTE(S4,"; ",";"),", ",";"),",",";"))&amp;";"</f>
        <v>;academia;gobierno;</v>
      </c>
      <c r="AA4" s="11" t="str">
        <f aca="false">";"&amp;LOWER(SUBSTITUTE(SUBSTITUTE(SUBSTITUTE(T4,"; ",";"),", ",";"),",",";"))&amp;";"</f>
        <v>;nacional;</v>
      </c>
      <c r="AB4" s="11" t="str">
        <f aca="false">";"&amp;LOWER(SUBSTITUTE(SUBSTITUTE(SUBSTITUTE(U4,"; ",";"),", ",";"),",",";"))&amp;";"</f>
        <v>;nlp;topic modeling;clustering semántico;clasificación de texto;embeddings;llm;</v>
      </c>
      <c r="AC4" s="12" t="n">
        <f aca="false">IF(ISNUMBER(SEARCH(";participación digital;",W4)),1,0)</f>
        <v>1</v>
      </c>
      <c r="AD4" s="12" t="n">
        <f aca="false">IF(ISNUMBER(SEARCH(";gobernanza colaborativa;",W4)),1,0)</f>
        <v>1</v>
      </c>
      <c r="AE4" s="12" t="n">
        <f aca="false">IF(ISNUMBER(SEARCH(";mini públicos;",W4)),1,0)</f>
        <v>0</v>
      </c>
      <c r="AF4" s="12" t="n">
        <f aca="false">IF(ISNUMBER(SEARCH(";referendos e iniciativas populares;",W4)),1,0)</f>
        <v>0</v>
      </c>
      <c r="AG4" s="12" t="n">
        <f aca="false">IF(ISNUMBER(SEARCH(";presupuestos participativos;",W4)),1,0)</f>
        <v>0</v>
      </c>
      <c r="AH4" s="12" t="n">
        <f aca="false">IF(ISNUMBER(SEARCH(";planificación;",X4)),1,0)</f>
        <v>0</v>
      </c>
      <c r="AI4" s="12" t="n">
        <f aca="false">IF(ISNUMBER(SEARCH(";implementación;",X4)),1,0)</f>
        <v>0</v>
      </c>
      <c r="AJ4" s="12" t="n">
        <f aca="false">IF(ISNUMBER(SEARCH(";análisis;",X4)),1,0)</f>
        <v>1</v>
      </c>
      <c r="AK4" s="12" t="n">
        <f aca="false">IF(ISNUMBER(SEARCH("traducción",X4)),1,0)</f>
        <v>0</v>
      </c>
      <c r="AL4" s="12" t="n">
        <f aca="false">IF(ISNUMBER(SEARCH(";gobierno local;",Y4)),1,0)</f>
        <v>0</v>
      </c>
      <c r="AM4" s="12" t="n">
        <f aca="false">IF(ISNUMBER(SEARCH(";gobierno nacional;",Y4)),1,0)</f>
        <v>1</v>
      </c>
      <c r="AN4" s="12" t="n">
        <f aca="false">IF(ISNUMBER(SEARCH(";otra institución pública;",Y4)),1,0)</f>
        <v>0</v>
      </c>
      <c r="AO4" s="12" t="n">
        <f aca="false">IF(ISNUMBER(SEARCH(";empresa;",Y4)),1,0)</f>
        <v>0</v>
      </c>
      <c r="AP4" s="12" t="n">
        <f aca="false">IF(ISNUMBER(SEARCH(";universidad;",Y4)),1,0)</f>
        <v>0</v>
      </c>
      <c r="AQ4" s="12" t="n">
        <f aca="false">IF(ISNUMBER(SEARCH(";sociedad civil;",Y4)),1,0)</f>
        <v>0</v>
      </c>
      <c r="AR4" s="12" t="n">
        <f aca="false">IF(ISNUMBER(SEARCH(";organización internacional;",Y4)),1,0)</f>
        <v>0</v>
      </c>
      <c r="AS4" s="12" t="n">
        <f aca="false">IF(ISNUMBER(SEARCH(";privado;",Z4)),1,0)</f>
        <v>0</v>
      </c>
      <c r="AT4" s="12" t="n">
        <f aca="false">IF(ISNUMBER(SEARCH(";academia;",Z4)),1,0)</f>
        <v>1</v>
      </c>
      <c r="AU4" s="12" t="n">
        <f aca="false">IF(ISNUMBER(SEARCH(";gobierno;",Z4)),1,0)</f>
        <v>1</v>
      </c>
      <c r="AV4" s="12" t="n">
        <f aca="false">IF(ISNUMBER(SEARCH(";sociedad civil;",Z4)),1,0)</f>
        <v>0</v>
      </c>
      <c r="AW4" s="12" t="n">
        <f aca="false">IF(ISNUMBER(SEARCH(";nacional;",AA4)),1,0)</f>
        <v>1</v>
      </c>
      <c r="AX4" s="12" t="n">
        <f aca="false">IF(ISNUMBER(SEARCH(";internacional;",AA4)),1,0)</f>
        <v>0</v>
      </c>
      <c r="AY4" s="14" t="n">
        <f aca="false">IF(AND(N4=1,('2 · Índice por país'!$B$25-D4)&gt;'2 · Índice por país'!$B$26),0,N4)</f>
        <v>0</v>
      </c>
      <c r="AZ4" s="12" t="str">
        <f aca="false">IF(SUM(AL4:AR4)&lt;2,"",IF(AL4=1,"GL+","")&amp;IF(AM4=1,"GN+","")&amp;IF(AN4=1,"OIP+","")&amp;IF(AO4=1,"EMP+","")&amp;IF(AP4=1,"UNI+","")&amp;IF(AQ4=1,"SC+","")&amp;IF(AR4=1,"OI+",""))</f>
        <v/>
      </c>
      <c r="BA4" s="12" t="n">
        <f aca="false">IF(AZ4="",0,IF(COUNTIFS($A$1:$A3,A4,$AZ$1:$AZ3,AZ4)=0,1,0))</f>
        <v>0</v>
      </c>
    </row>
    <row r="5" customFormat="false" ht="45.75" hidden="false" customHeight="true" outlineLevel="0" collapsed="false">
      <c r="A5" s="5" t="s">
        <v>53</v>
      </c>
      <c r="B5" s="5" t="s">
        <v>95</v>
      </c>
      <c r="C5" s="6" t="s">
        <v>96</v>
      </c>
      <c r="D5" s="7" t="n">
        <v>2023</v>
      </c>
      <c r="E5" s="6" t="s">
        <v>97</v>
      </c>
      <c r="F5" s="6" t="s">
        <v>98</v>
      </c>
      <c r="G5" s="6" t="s">
        <v>99</v>
      </c>
      <c r="H5" s="6" t="s">
        <v>100</v>
      </c>
      <c r="I5" s="6"/>
      <c r="J5" s="8" t="s">
        <v>101</v>
      </c>
      <c r="K5" s="9" t="s">
        <v>60</v>
      </c>
      <c r="L5" s="9" t="s">
        <v>102</v>
      </c>
      <c r="M5" s="9" t="s">
        <v>103</v>
      </c>
      <c r="N5" s="10" t="n">
        <v>2</v>
      </c>
      <c r="O5" s="9" t="s">
        <v>63</v>
      </c>
      <c r="P5" s="9" t="s">
        <v>104</v>
      </c>
      <c r="Q5" s="9" t="s">
        <v>67</v>
      </c>
      <c r="R5" s="9" t="s">
        <v>105</v>
      </c>
      <c r="S5" s="9" t="s">
        <v>106</v>
      </c>
      <c r="T5" s="9" t="s">
        <v>81</v>
      </c>
      <c r="U5" s="9" t="s">
        <v>107</v>
      </c>
      <c r="V5" s="9" t="s">
        <v>70</v>
      </c>
      <c r="W5" s="11" t="str">
        <f aca="false">";"&amp;LOWER(SUBSTITUTE(SUBSTITUTE(SUBSTITUTE(L5,"; ",";"),", ",";"),",",";"))&amp;";"</f>
        <v>;mini públicos;</v>
      </c>
      <c r="X5" s="11" t="str">
        <f aca="false">";"&amp;LOWER(SUBSTITUTE(SUBSTITUTE(SUBSTITUTE(M5,"; ",";"),", ",";"),",",";"))&amp;";"</f>
        <v>;implementación;</v>
      </c>
      <c r="Y5" s="11" t="str">
        <f aca="false">";"&amp;LOWER(SUBSTITUTE(SUBSTITUTE(SUBSTITUTE(P5,"; ",";"),", ",";"),",",";"))&amp;";"</f>
        <v>;empresa;universidad;</v>
      </c>
      <c r="Z5" s="11" t="str">
        <f aca="false">";"&amp;LOWER(SUBSTITUTE(SUBSTITUTE(SUBSTITUTE(S5,"; ",";"),", ",";"),",",";"))&amp;";"</f>
        <v>;academia;</v>
      </c>
      <c r="AA5" s="11" t="str">
        <f aca="false">";"&amp;LOWER(SUBSTITUTE(SUBSTITUTE(SUBSTITUTE(T5,"; ",";"),", ",";"),",",";"))&amp;";"</f>
        <v>;internacional;</v>
      </c>
      <c r="AB5" s="11" t="str">
        <f aca="false">";"&amp;LOWER(SUBSTITUTE(SUBSTITUTE(SUBSTITUTE(U5,"; ",";"),", ",";"),",",";"))&amp;";"</f>
        <v>;moderación/facilitación automatizada;sistema de reglas/temporización;</v>
      </c>
      <c r="AC5" s="12" t="n">
        <f aca="false">IF(ISNUMBER(SEARCH(";participación digital;",W5)),1,0)</f>
        <v>0</v>
      </c>
      <c r="AD5" s="12" t="n">
        <f aca="false">IF(ISNUMBER(SEARCH(";gobernanza colaborativa;",W5)),1,0)</f>
        <v>0</v>
      </c>
      <c r="AE5" s="12" t="n">
        <f aca="false">IF(ISNUMBER(SEARCH(";mini públicos;",W5)),1,0)</f>
        <v>1</v>
      </c>
      <c r="AF5" s="12" t="n">
        <f aca="false">IF(ISNUMBER(SEARCH(";referendos e iniciativas populares;",W5)),1,0)</f>
        <v>0</v>
      </c>
      <c r="AG5" s="12" t="n">
        <f aca="false">IF(ISNUMBER(SEARCH(";presupuestos participativos;",W5)),1,0)</f>
        <v>0</v>
      </c>
      <c r="AH5" s="12" t="n">
        <f aca="false">IF(ISNUMBER(SEARCH(";planificación;",X5)),1,0)</f>
        <v>0</v>
      </c>
      <c r="AI5" s="12" t="n">
        <f aca="false">IF(ISNUMBER(SEARCH(";implementación;",X5)),1,0)</f>
        <v>1</v>
      </c>
      <c r="AJ5" s="12" t="n">
        <f aca="false">IF(ISNUMBER(SEARCH(";análisis;",X5)),1,0)</f>
        <v>0</v>
      </c>
      <c r="AK5" s="12" t="n">
        <f aca="false">IF(ISNUMBER(SEARCH("traducción",X5)),1,0)</f>
        <v>0</v>
      </c>
      <c r="AL5" s="12" t="n">
        <f aca="false">IF(ISNUMBER(SEARCH(";gobierno local;",Y5)),1,0)</f>
        <v>0</v>
      </c>
      <c r="AM5" s="12" t="n">
        <f aca="false">IF(ISNUMBER(SEARCH(";gobierno nacional;",Y5)),1,0)</f>
        <v>0</v>
      </c>
      <c r="AN5" s="12" t="n">
        <f aca="false">IF(ISNUMBER(SEARCH(";otra institución pública;",Y5)),1,0)</f>
        <v>0</v>
      </c>
      <c r="AO5" s="12" t="n">
        <f aca="false">IF(ISNUMBER(SEARCH(";empresa;",Y5)),1,0)</f>
        <v>1</v>
      </c>
      <c r="AP5" s="12" t="n">
        <f aca="false">IF(ISNUMBER(SEARCH(";universidad;",Y5)),1,0)</f>
        <v>1</v>
      </c>
      <c r="AQ5" s="12" t="n">
        <f aca="false">IF(ISNUMBER(SEARCH(";sociedad civil;",Y5)),1,0)</f>
        <v>0</v>
      </c>
      <c r="AR5" s="12" t="n">
        <f aca="false">IF(ISNUMBER(SEARCH(";organización internacional;",Y5)),1,0)</f>
        <v>0</v>
      </c>
      <c r="AS5" s="12" t="n">
        <f aca="false">IF(ISNUMBER(SEARCH(";privado;",Z5)),1,0)</f>
        <v>0</v>
      </c>
      <c r="AT5" s="12" t="n">
        <f aca="false">IF(ISNUMBER(SEARCH(";academia;",Z5)),1,0)</f>
        <v>1</v>
      </c>
      <c r="AU5" s="12" t="n">
        <f aca="false">IF(ISNUMBER(SEARCH(";gobierno;",Z5)),1,0)</f>
        <v>0</v>
      </c>
      <c r="AV5" s="12" t="n">
        <f aca="false">IF(ISNUMBER(SEARCH(";sociedad civil;",Z5)),1,0)</f>
        <v>0</v>
      </c>
      <c r="AW5" s="12" t="n">
        <f aca="false">IF(ISNUMBER(SEARCH(";nacional;",AA5)),1,0)</f>
        <v>0</v>
      </c>
      <c r="AX5" s="12" t="n">
        <f aca="false">IF(ISNUMBER(SEARCH(";internacional;",AA5)),1,0)</f>
        <v>1</v>
      </c>
      <c r="AY5" s="13" t="n">
        <f aca="false">IF(AND(N5=1,('2 · Índice por país'!$B$25-D5)&gt;'2 · Índice por país'!$B$26),0,N5)</f>
        <v>2</v>
      </c>
      <c r="AZ5" s="12" t="str">
        <f aca="false">IF(SUM(AL5:AR5)&lt;2,"",IF(AL5=1,"GL+","")&amp;IF(AM5=1,"GN+","")&amp;IF(AN5=1,"OIP+","")&amp;IF(AO5=1,"EMP+","")&amp;IF(AP5=1,"UNI+","")&amp;IF(AQ5=1,"SC+","")&amp;IF(AR5=1,"OI+",""))</f>
        <v>EMP+UNI+</v>
      </c>
      <c r="BA5" s="12" t="n">
        <f aca="false">IF(AZ5="",0,IF(COUNTIFS($A$1:$A4,A5,$AZ$1:$AZ4,AZ5)=0,1,0))</f>
        <v>1</v>
      </c>
    </row>
    <row r="6" customFormat="false" ht="45.75" hidden="false" customHeight="true" outlineLevel="0" collapsed="false">
      <c r="A6" s="5" t="s">
        <v>53</v>
      </c>
      <c r="B6" s="5" t="s">
        <v>108</v>
      </c>
      <c r="C6" s="6" t="s">
        <v>109</v>
      </c>
      <c r="D6" s="7" t="n">
        <v>2023</v>
      </c>
      <c r="E6" s="6" t="s">
        <v>86</v>
      </c>
      <c r="F6" s="6" t="s">
        <v>110</v>
      </c>
      <c r="G6" s="6" t="s">
        <v>111</v>
      </c>
      <c r="H6" s="6" t="s">
        <v>112</v>
      </c>
      <c r="I6" s="6" t="s">
        <v>113</v>
      </c>
      <c r="J6" s="8" t="s">
        <v>114</v>
      </c>
      <c r="K6" s="9" t="s">
        <v>60</v>
      </c>
      <c r="L6" s="9" t="s">
        <v>115</v>
      </c>
      <c r="M6" s="9" t="s">
        <v>103</v>
      </c>
      <c r="N6" s="10" t="n">
        <v>3</v>
      </c>
      <c r="O6" s="9" t="s">
        <v>116</v>
      </c>
      <c r="P6" s="9" t="s">
        <v>117</v>
      </c>
      <c r="Q6" s="9" t="s">
        <v>65</v>
      </c>
      <c r="R6" s="9" t="s">
        <v>105</v>
      </c>
      <c r="S6" s="9" t="s">
        <v>67</v>
      </c>
      <c r="T6" s="9" t="s">
        <v>68</v>
      </c>
      <c r="U6" s="9"/>
      <c r="V6" s="9" t="s">
        <v>70</v>
      </c>
      <c r="W6" s="11" t="str">
        <f aca="false">";"&amp;LOWER(SUBSTITUTE(SUBSTITUTE(SUBSTITUTE(L6,"; ",";"),", ",";"),",",";"))&amp;";"</f>
        <v>;presupuestos participativos;participación digital;</v>
      </c>
      <c r="X6" s="11" t="str">
        <f aca="false">";"&amp;LOWER(SUBSTITUTE(SUBSTITUTE(SUBSTITUTE(M6,"; ",";"),", ",";"),",",";"))&amp;";"</f>
        <v>;implementación;</v>
      </c>
      <c r="Y6" s="11" t="str">
        <f aca="false">";"&amp;LOWER(SUBSTITUTE(SUBSTITUTE(SUBSTITUTE(P6,"; ",";"),", ",";"),",",";"))&amp;";"</f>
        <v>;gobierno local;</v>
      </c>
      <c r="Z6" s="11" t="str">
        <f aca="false">";"&amp;LOWER(SUBSTITUTE(SUBSTITUTE(SUBSTITUTE(S6,"; ",";"),", ",";"),",",";"))&amp;";"</f>
        <v>;privado;</v>
      </c>
      <c r="AA6" s="11" t="str">
        <f aca="false">";"&amp;LOWER(SUBSTITUTE(SUBSTITUTE(SUBSTITUTE(T6,"; ",";"),", ",";"),",",";"))&amp;";"</f>
        <v>;nacional;</v>
      </c>
      <c r="AB6" s="11" t="str">
        <f aca="false">";"&amp;LOWER(SUBSTITUTE(SUBSTITUTE(SUBSTITUTE(U6,"; ",";"),", ",";"),",",";"))&amp;";"</f>
        <v>;;</v>
      </c>
      <c r="AC6" s="12" t="n">
        <f aca="false">IF(ISNUMBER(SEARCH(";participación digital;",W6)),1,0)</f>
        <v>1</v>
      </c>
      <c r="AD6" s="12" t="n">
        <f aca="false">IF(ISNUMBER(SEARCH(";gobernanza colaborativa;",W6)),1,0)</f>
        <v>0</v>
      </c>
      <c r="AE6" s="12" t="n">
        <f aca="false">IF(ISNUMBER(SEARCH(";mini públicos;",W6)),1,0)</f>
        <v>0</v>
      </c>
      <c r="AF6" s="12" t="n">
        <f aca="false">IF(ISNUMBER(SEARCH(";referendos e iniciativas populares;",W6)),1,0)</f>
        <v>0</v>
      </c>
      <c r="AG6" s="12" t="n">
        <f aca="false">IF(ISNUMBER(SEARCH(";presupuestos participativos;",W6)),1,0)</f>
        <v>1</v>
      </c>
      <c r="AH6" s="12" t="n">
        <f aca="false">IF(ISNUMBER(SEARCH(";planificación;",X6)),1,0)</f>
        <v>0</v>
      </c>
      <c r="AI6" s="12" t="n">
        <f aca="false">IF(ISNUMBER(SEARCH(";implementación;",X6)),1,0)</f>
        <v>1</v>
      </c>
      <c r="AJ6" s="12" t="n">
        <f aca="false">IF(ISNUMBER(SEARCH(";análisis;",X6)),1,0)</f>
        <v>0</v>
      </c>
      <c r="AK6" s="12" t="n">
        <f aca="false">IF(ISNUMBER(SEARCH("traducción",X6)),1,0)</f>
        <v>0</v>
      </c>
      <c r="AL6" s="12" t="n">
        <f aca="false">IF(ISNUMBER(SEARCH(";gobierno local;",Y6)),1,0)</f>
        <v>1</v>
      </c>
      <c r="AM6" s="12" t="n">
        <f aca="false">IF(ISNUMBER(SEARCH(";gobierno nacional;",Y6)),1,0)</f>
        <v>0</v>
      </c>
      <c r="AN6" s="12" t="n">
        <f aca="false">IF(ISNUMBER(SEARCH(";otra institución pública;",Y6)),1,0)</f>
        <v>0</v>
      </c>
      <c r="AO6" s="12" t="n">
        <f aca="false">IF(ISNUMBER(SEARCH(";empresa;",Y6)),1,0)</f>
        <v>0</v>
      </c>
      <c r="AP6" s="12" t="n">
        <f aca="false">IF(ISNUMBER(SEARCH(";universidad;",Y6)),1,0)</f>
        <v>0</v>
      </c>
      <c r="AQ6" s="12" t="n">
        <f aca="false">IF(ISNUMBER(SEARCH(";sociedad civil;",Y6)),1,0)</f>
        <v>0</v>
      </c>
      <c r="AR6" s="12" t="n">
        <f aca="false">IF(ISNUMBER(SEARCH(";organización internacional;",Y6)),1,0)</f>
        <v>0</v>
      </c>
      <c r="AS6" s="12" t="n">
        <f aca="false">IF(ISNUMBER(SEARCH(";privado;",Z6)),1,0)</f>
        <v>1</v>
      </c>
      <c r="AT6" s="12" t="n">
        <f aca="false">IF(ISNUMBER(SEARCH(";academia;",Z6)),1,0)</f>
        <v>0</v>
      </c>
      <c r="AU6" s="12" t="n">
        <f aca="false">IF(ISNUMBER(SEARCH(";gobierno;",Z6)),1,0)</f>
        <v>0</v>
      </c>
      <c r="AV6" s="12" t="n">
        <f aca="false">IF(ISNUMBER(SEARCH(";sociedad civil;",Z6)),1,0)</f>
        <v>0</v>
      </c>
      <c r="AW6" s="12" t="n">
        <f aca="false">IF(ISNUMBER(SEARCH(";nacional;",AA6)),1,0)</f>
        <v>1</v>
      </c>
      <c r="AX6" s="12" t="n">
        <f aca="false">IF(ISNUMBER(SEARCH(";internacional;",AA6)),1,0)</f>
        <v>0</v>
      </c>
      <c r="AY6" s="13" t="n">
        <f aca="false">IF(AND(N6=1,('2 · Índice por país'!$B$25-D6)&gt;'2 · Índice por país'!$B$26),0,N6)</f>
        <v>3</v>
      </c>
      <c r="AZ6" s="12" t="str">
        <f aca="false">IF(SUM(AL6:AR6)&lt;2,"",IF(AL6=1,"GL+","")&amp;IF(AM6=1,"GN+","")&amp;IF(AN6=1,"OIP+","")&amp;IF(AO6=1,"EMP+","")&amp;IF(AP6=1,"UNI+","")&amp;IF(AQ6=1,"SC+","")&amp;IF(AR6=1,"OI+",""))</f>
        <v/>
      </c>
      <c r="BA6" s="12" t="n">
        <f aca="false">IF(AZ6="",0,IF(COUNTIFS($A$1:$A5,A6,$AZ$1:$AZ5,AZ6)=0,1,0))</f>
        <v>0</v>
      </c>
    </row>
    <row r="7" customFormat="false" ht="45.75" hidden="false" customHeight="true" outlineLevel="0" collapsed="false">
      <c r="A7" s="5" t="s">
        <v>53</v>
      </c>
      <c r="B7" s="5" t="s">
        <v>118</v>
      </c>
      <c r="C7" s="6" t="s">
        <v>119</v>
      </c>
      <c r="D7" s="7" t="n">
        <v>2025</v>
      </c>
      <c r="E7" s="6" t="s">
        <v>74</v>
      </c>
      <c r="F7" s="6" t="s">
        <v>120</v>
      </c>
      <c r="G7" s="6" t="s">
        <v>121</v>
      </c>
      <c r="H7" s="6"/>
      <c r="I7" s="6"/>
      <c r="J7" s="8" t="s">
        <v>122</v>
      </c>
      <c r="K7" s="9" t="s">
        <v>60</v>
      </c>
      <c r="L7" s="9" t="s">
        <v>78</v>
      </c>
      <c r="M7" s="9" t="s">
        <v>79</v>
      </c>
      <c r="N7" s="10" t="n">
        <v>2</v>
      </c>
      <c r="O7" s="9" t="s">
        <v>116</v>
      </c>
      <c r="P7" s="9" t="s">
        <v>117</v>
      </c>
      <c r="Q7" s="9" t="s">
        <v>65</v>
      </c>
      <c r="R7" s="9" t="s">
        <v>66</v>
      </c>
      <c r="S7" s="9" t="s">
        <v>123</v>
      </c>
      <c r="T7" s="9" t="s">
        <v>124</v>
      </c>
      <c r="U7" s="9" t="s">
        <v>125</v>
      </c>
      <c r="V7" s="9" t="s">
        <v>60</v>
      </c>
      <c r="W7" s="11" t="str">
        <f aca="false">";"&amp;LOWER(SUBSTITUTE(SUBSTITUTE(SUBSTITUTE(L7,"; ",";"),", ",";"),",",";"))&amp;";"</f>
        <v>;gobernanza colaborativa;</v>
      </c>
      <c r="X7" s="11" t="str">
        <f aca="false">";"&amp;LOWER(SUBSTITUTE(SUBSTITUTE(SUBSTITUTE(M7,"; ",";"),", ",";"),",",";"))&amp;";"</f>
        <v>;implementación;análisis;</v>
      </c>
      <c r="Y7" s="11" t="str">
        <f aca="false">";"&amp;LOWER(SUBSTITUTE(SUBSTITUTE(SUBSTITUTE(P7,"; ",";"),", ",";"),",",";"))&amp;";"</f>
        <v>;gobierno local;</v>
      </c>
      <c r="Z7" s="11" t="str">
        <f aca="false">";"&amp;LOWER(SUBSTITUTE(SUBSTITUTE(SUBSTITUTE(S7,"; ",";"),", ",";"),",",";"))&amp;";"</f>
        <v>;gobierno;privado;</v>
      </c>
      <c r="AA7" s="11" t="str">
        <f aca="false">";"&amp;LOWER(SUBSTITUTE(SUBSTITUTE(SUBSTITUTE(T7,"; ",";"),", ",";"),",",";"))&amp;";"</f>
        <v>;nacional;internacional;</v>
      </c>
      <c r="AB7" s="11" t="str">
        <f aca="false">";"&amp;LOWER(SUBSTITUTE(SUBSTITUTE(SUBSTITUTE(U7,"; ",";"),", ",";"),",",";"))&amp;";"</f>
        <v>;llm;nlp;</v>
      </c>
      <c r="AC7" s="12" t="n">
        <f aca="false">IF(ISNUMBER(SEARCH(";participación digital;",W7)),1,0)</f>
        <v>0</v>
      </c>
      <c r="AD7" s="12" t="n">
        <f aca="false">IF(ISNUMBER(SEARCH(";gobernanza colaborativa;",W7)),1,0)</f>
        <v>1</v>
      </c>
      <c r="AE7" s="12" t="n">
        <f aca="false">IF(ISNUMBER(SEARCH(";mini públicos;",W7)),1,0)</f>
        <v>0</v>
      </c>
      <c r="AF7" s="12" t="n">
        <f aca="false">IF(ISNUMBER(SEARCH(";referendos e iniciativas populares;",W7)),1,0)</f>
        <v>0</v>
      </c>
      <c r="AG7" s="12" t="n">
        <f aca="false">IF(ISNUMBER(SEARCH(";presupuestos participativos;",W7)),1,0)</f>
        <v>0</v>
      </c>
      <c r="AH7" s="12" t="n">
        <f aca="false">IF(ISNUMBER(SEARCH(";planificación;",X7)),1,0)</f>
        <v>0</v>
      </c>
      <c r="AI7" s="12" t="n">
        <f aca="false">IF(ISNUMBER(SEARCH(";implementación;",X7)),1,0)</f>
        <v>1</v>
      </c>
      <c r="AJ7" s="12" t="n">
        <f aca="false">IF(ISNUMBER(SEARCH(";análisis;",X7)),1,0)</f>
        <v>1</v>
      </c>
      <c r="AK7" s="12" t="n">
        <f aca="false">IF(ISNUMBER(SEARCH("traducción",X7)),1,0)</f>
        <v>0</v>
      </c>
      <c r="AL7" s="12" t="n">
        <f aca="false">IF(ISNUMBER(SEARCH(";gobierno local;",Y7)),1,0)</f>
        <v>1</v>
      </c>
      <c r="AM7" s="12" t="n">
        <f aca="false">IF(ISNUMBER(SEARCH(";gobierno nacional;",Y7)),1,0)</f>
        <v>0</v>
      </c>
      <c r="AN7" s="12" t="n">
        <f aca="false">IF(ISNUMBER(SEARCH(";otra institución pública;",Y7)),1,0)</f>
        <v>0</v>
      </c>
      <c r="AO7" s="12" t="n">
        <f aca="false">IF(ISNUMBER(SEARCH(";empresa;",Y7)),1,0)</f>
        <v>0</v>
      </c>
      <c r="AP7" s="12" t="n">
        <f aca="false">IF(ISNUMBER(SEARCH(";universidad;",Y7)),1,0)</f>
        <v>0</v>
      </c>
      <c r="AQ7" s="12" t="n">
        <f aca="false">IF(ISNUMBER(SEARCH(";sociedad civil;",Y7)),1,0)</f>
        <v>0</v>
      </c>
      <c r="AR7" s="12" t="n">
        <f aca="false">IF(ISNUMBER(SEARCH(";organización internacional;",Y7)),1,0)</f>
        <v>0</v>
      </c>
      <c r="AS7" s="12" t="n">
        <f aca="false">IF(ISNUMBER(SEARCH(";privado;",Z7)),1,0)</f>
        <v>1</v>
      </c>
      <c r="AT7" s="12" t="n">
        <f aca="false">IF(ISNUMBER(SEARCH(";academia;",Z7)),1,0)</f>
        <v>0</v>
      </c>
      <c r="AU7" s="12" t="n">
        <f aca="false">IF(ISNUMBER(SEARCH(";gobierno;",Z7)),1,0)</f>
        <v>1</v>
      </c>
      <c r="AV7" s="12" t="n">
        <f aca="false">IF(ISNUMBER(SEARCH(";sociedad civil;",Z7)),1,0)</f>
        <v>0</v>
      </c>
      <c r="AW7" s="12" t="n">
        <f aca="false">IF(ISNUMBER(SEARCH(";nacional;",AA7)),1,0)</f>
        <v>1</v>
      </c>
      <c r="AX7" s="12" t="n">
        <f aca="false">IF(ISNUMBER(SEARCH(";internacional;",AA7)),1,0)</f>
        <v>1</v>
      </c>
      <c r="AY7" s="13" t="n">
        <f aca="false">IF(AND(N7=1,('2 · Índice por país'!$B$25-D7)&gt;'2 · Índice por país'!$B$26),0,N7)</f>
        <v>2</v>
      </c>
      <c r="AZ7" s="12" t="str">
        <f aca="false">IF(SUM(AL7:AR7)&lt;2,"",IF(AL7=1,"GL+","")&amp;IF(AM7=1,"GN+","")&amp;IF(AN7=1,"OIP+","")&amp;IF(AO7=1,"EMP+","")&amp;IF(AP7=1,"UNI+","")&amp;IF(AQ7=1,"SC+","")&amp;IF(AR7=1,"OI+",""))</f>
        <v/>
      </c>
      <c r="BA7" s="12" t="n">
        <f aca="false">IF(AZ7="",0,IF(COUNTIFS($A$1:$A6,A7,$AZ$1:$AZ6,AZ7)=0,1,0))</f>
        <v>0</v>
      </c>
    </row>
    <row r="8" customFormat="false" ht="45.75" hidden="false" customHeight="true" outlineLevel="0" collapsed="false">
      <c r="A8" s="5" t="s">
        <v>53</v>
      </c>
      <c r="B8" s="5" t="s">
        <v>126</v>
      </c>
      <c r="C8" s="6" t="s">
        <v>127</v>
      </c>
      <c r="D8" s="7" t="n">
        <v>2025</v>
      </c>
      <c r="E8" s="6" t="s">
        <v>128</v>
      </c>
      <c r="F8" s="15" t="s">
        <v>129</v>
      </c>
      <c r="G8" s="6" t="s">
        <v>130</v>
      </c>
      <c r="H8" s="6" t="s">
        <v>131</v>
      </c>
      <c r="I8" s="6"/>
      <c r="J8" s="16" t="s">
        <v>132</v>
      </c>
      <c r="K8" s="9" t="s">
        <v>60</v>
      </c>
      <c r="L8" s="9" t="s">
        <v>133</v>
      </c>
      <c r="M8" s="9" t="s">
        <v>134</v>
      </c>
      <c r="N8" s="10" t="n">
        <v>2</v>
      </c>
      <c r="O8" s="9" t="s">
        <v>116</v>
      </c>
      <c r="P8" s="9" t="s">
        <v>64</v>
      </c>
      <c r="Q8" s="9" t="s">
        <v>65</v>
      </c>
      <c r="R8" s="9" t="s">
        <v>66</v>
      </c>
      <c r="S8" s="9" t="s">
        <v>135</v>
      </c>
      <c r="T8" s="9" t="s">
        <v>68</v>
      </c>
      <c r="U8" s="9" t="s">
        <v>136</v>
      </c>
      <c r="V8" s="9" t="s">
        <v>60</v>
      </c>
      <c r="W8" s="11" t="str">
        <f aca="false">";"&amp;LOWER(SUBSTITUTE(SUBSTITUTE(SUBSTITUTE(L8,"; ",";"),", ",";"),",",";"))&amp;";"</f>
        <v>;gobernanza colaborativa;participación digital;referendos e iniciativas populares;</v>
      </c>
      <c r="X8" s="11" t="str">
        <f aca="false">";"&amp;LOWER(SUBSTITUTE(SUBSTITUTE(SUBSTITUTE(M8,"; ",";"),", ",";"),",",";"))&amp;";"</f>
        <v>;análisis;traducción política;</v>
      </c>
      <c r="Y8" s="11" t="str">
        <f aca="false">";"&amp;LOWER(SUBSTITUTE(SUBSTITUTE(SUBSTITUTE(P8,"; ",";"),", ",";"),",",";"))&amp;";"</f>
        <v>;gobierno nacional;</v>
      </c>
      <c r="Z8" s="11" t="str">
        <f aca="false">";"&amp;LOWER(SUBSTITUTE(SUBSTITUTE(SUBSTITUTE(S8,"; ",";"),", ",";"),",",";"))&amp;";"</f>
        <v>;gobierno;</v>
      </c>
      <c r="AA8" s="11" t="str">
        <f aca="false">";"&amp;LOWER(SUBSTITUTE(SUBSTITUTE(SUBSTITUTE(T8,"; ",";"),", ",";"),",",";"))&amp;";"</f>
        <v>;nacional;</v>
      </c>
      <c r="AB8" s="11" t="str">
        <f aca="false">";"&amp;LOWER(SUBSTITUTE(SUBSTITUTE(SUBSTITUTE(U8,"; ",";"),", ",";"),",",";"))&amp;";"</f>
        <v>;voz a texto;llm;nlp;búsqueda semántica;</v>
      </c>
      <c r="AC8" s="12" t="n">
        <f aca="false">IF(ISNUMBER(SEARCH(";participación digital;",W8)),1,0)</f>
        <v>1</v>
      </c>
      <c r="AD8" s="12" t="n">
        <f aca="false">IF(ISNUMBER(SEARCH(";gobernanza colaborativa;",W8)),1,0)</f>
        <v>1</v>
      </c>
      <c r="AE8" s="12" t="n">
        <f aca="false">IF(ISNUMBER(SEARCH(";mini públicos;",W8)),1,0)</f>
        <v>0</v>
      </c>
      <c r="AF8" s="12" t="n">
        <f aca="false">IF(ISNUMBER(SEARCH(";referendos e iniciativas populares;",W8)),1,0)</f>
        <v>1</v>
      </c>
      <c r="AG8" s="12" t="n">
        <f aca="false">IF(ISNUMBER(SEARCH(";presupuestos participativos;",W8)),1,0)</f>
        <v>0</v>
      </c>
      <c r="AH8" s="12" t="n">
        <f aca="false">IF(ISNUMBER(SEARCH(";planificación;",X8)),1,0)</f>
        <v>0</v>
      </c>
      <c r="AI8" s="12" t="n">
        <f aca="false">IF(ISNUMBER(SEARCH(";implementación;",X8)),1,0)</f>
        <v>0</v>
      </c>
      <c r="AJ8" s="12" t="n">
        <f aca="false">IF(ISNUMBER(SEARCH(";análisis;",X8)),1,0)</f>
        <v>1</v>
      </c>
      <c r="AK8" s="12" t="n">
        <f aca="false">IF(ISNUMBER(SEARCH("traducción",X8)),1,0)</f>
        <v>1</v>
      </c>
      <c r="AL8" s="12" t="n">
        <f aca="false">IF(ISNUMBER(SEARCH(";gobierno local;",Y8)),1,0)</f>
        <v>0</v>
      </c>
      <c r="AM8" s="12" t="n">
        <f aca="false">IF(ISNUMBER(SEARCH(";gobierno nacional;",Y8)),1,0)</f>
        <v>1</v>
      </c>
      <c r="AN8" s="12" t="n">
        <f aca="false">IF(ISNUMBER(SEARCH(";otra institución pública;",Y8)),1,0)</f>
        <v>0</v>
      </c>
      <c r="AO8" s="12" t="n">
        <f aca="false">IF(ISNUMBER(SEARCH(";empresa;",Y8)),1,0)</f>
        <v>0</v>
      </c>
      <c r="AP8" s="12" t="n">
        <f aca="false">IF(ISNUMBER(SEARCH(";universidad;",Y8)),1,0)</f>
        <v>0</v>
      </c>
      <c r="AQ8" s="12" t="n">
        <f aca="false">IF(ISNUMBER(SEARCH(";sociedad civil;",Y8)),1,0)</f>
        <v>0</v>
      </c>
      <c r="AR8" s="12" t="n">
        <f aca="false">IF(ISNUMBER(SEARCH(";organización internacional;",Y8)),1,0)</f>
        <v>0</v>
      </c>
      <c r="AS8" s="12" t="n">
        <f aca="false">IF(ISNUMBER(SEARCH(";privado;",Z8)),1,0)</f>
        <v>0</v>
      </c>
      <c r="AT8" s="12" t="n">
        <f aca="false">IF(ISNUMBER(SEARCH(";academia;",Z8)),1,0)</f>
        <v>0</v>
      </c>
      <c r="AU8" s="12" t="n">
        <f aca="false">IF(ISNUMBER(SEARCH(";gobierno;",Z8)),1,0)</f>
        <v>1</v>
      </c>
      <c r="AV8" s="12" t="n">
        <f aca="false">IF(ISNUMBER(SEARCH(";sociedad civil;",Z8)),1,0)</f>
        <v>0</v>
      </c>
      <c r="AW8" s="12" t="n">
        <f aca="false">IF(ISNUMBER(SEARCH(";nacional;",AA8)),1,0)</f>
        <v>1</v>
      </c>
      <c r="AX8" s="12" t="n">
        <f aca="false">IF(ISNUMBER(SEARCH(";internacional;",AA8)),1,0)</f>
        <v>0</v>
      </c>
      <c r="AY8" s="13" t="n">
        <f aca="false">IF(AND(N8=1,('2 · Índice por país'!$B$25-D8)&gt;'2 · Índice por país'!$B$26),0,N8)</f>
        <v>2</v>
      </c>
      <c r="AZ8" s="12" t="str">
        <f aca="false">IF(SUM(AL8:AR8)&lt;2,"",IF(AL8=1,"GL+","")&amp;IF(AM8=1,"GN+","")&amp;IF(AN8=1,"OIP+","")&amp;IF(AO8=1,"EMP+","")&amp;IF(AP8=1,"UNI+","")&amp;IF(AQ8=1,"SC+","")&amp;IF(AR8=1,"OI+",""))</f>
        <v/>
      </c>
      <c r="BA8" s="12" t="n">
        <f aca="false">IF(AZ8="",0,IF(COUNTIFS($A$1:$A7,A8,$AZ$1:$AZ7,AZ8)=0,1,0))</f>
        <v>0</v>
      </c>
    </row>
    <row r="9" customFormat="false" ht="45.75" hidden="false" customHeight="true" outlineLevel="0" collapsed="false">
      <c r="A9" s="5" t="s">
        <v>53</v>
      </c>
      <c r="B9" s="5" t="s">
        <v>137</v>
      </c>
      <c r="C9" s="6" t="s">
        <v>138</v>
      </c>
      <c r="D9" s="7" t="n">
        <v>2025</v>
      </c>
      <c r="E9" s="6" t="s">
        <v>139</v>
      </c>
      <c r="F9" s="6" t="s">
        <v>140</v>
      </c>
      <c r="G9" s="6" t="s">
        <v>141</v>
      </c>
      <c r="H9" s="6" t="s">
        <v>142</v>
      </c>
      <c r="I9" s="6" t="s">
        <v>143</v>
      </c>
      <c r="J9" s="8" t="s">
        <v>144</v>
      </c>
      <c r="K9" s="9" t="s">
        <v>60</v>
      </c>
      <c r="L9" s="9" t="s">
        <v>61</v>
      </c>
      <c r="M9" s="9" t="s">
        <v>62</v>
      </c>
      <c r="N9" s="10" t="n">
        <v>2</v>
      </c>
      <c r="O9" s="9" t="s">
        <v>63</v>
      </c>
      <c r="P9" s="9" t="s">
        <v>117</v>
      </c>
      <c r="Q9" s="9" t="s">
        <v>65</v>
      </c>
      <c r="R9" s="9" t="s">
        <v>66</v>
      </c>
      <c r="S9" s="9" t="s">
        <v>145</v>
      </c>
      <c r="T9" s="9" t="s">
        <v>68</v>
      </c>
      <c r="U9" s="9" t="s">
        <v>146</v>
      </c>
      <c r="V9" s="9" t="s">
        <v>60</v>
      </c>
      <c r="W9" s="11" t="str">
        <f aca="false">";"&amp;LOWER(SUBSTITUTE(SUBSTITUTE(SUBSTITUTE(L9,"; ",";"),", ",";"),",",";"))&amp;";"</f>
        <v>;participación digital;gobernanza colaborativa;</v>
      </c>
      <c r="X9" s="11" t="str">
        <f aca="false">";"&amp;LOWER(SUBSTITUTE(SUBSTITUTE(SUBSTITUTE(M9,"; ",";"),", ",";"),",",";"))&amp;";"</f>
        <v>;análisis;</v>
      </c>
      <c r="Y9" s="11" t="str">
        <f aca="false">";"&amp;LOWER(SUBSTITUTE(SUBSTITUTE(SUBSTITUTE(P9,"; ",";"),", ",";"),",",";"))&amp;";"</f>
        <v>;gobierno local;</v>
      </c>
      <c r="Z9" s="11" t="str">
        <f aca="false">";"&amp;LOWER(SUBSTITUTE(SUBSTITUTE(SUBSTITUTE(S9,"; ",";"),", ",";"),",",";"))&amp;";"</f>
        <v>;sociedad civil;gobierno;</v>
      </c>
      <c r="AA9" s="11" t="str">
        <f aca="false">";"&amp;LOWER(SUBSTITUTE(SUBSTITUTE(SUBSTITUTE(T9,"; ",";"),", ",";"),",",";"))&amp;";"</f>
        <v>;nacional;</v>
      </c>
      <c r="AB9" s="11" t="str">
        <f aca="false">";"&amp;LOWER(SUBSTITUTE(SUBSTITUTE(SUBSTITUTE(U9,"; ",";"),", ",";"),",",";"))&amp;";"</f>
        <v>;llm generativa;nlp;clasificación de texto;</v>
      </c>
      <c r="AC9" s="12" t="n">
        <f aca="false">IF(ISNUMBER(SEARCH(";participación digital;",W9)),1,0)</f>
        <v>1</v>
      </c>
      <c r="AD9" s="12" t="n">
        <f aca="false">IF(ISNUMBER(SEARCH(";gobernanza colaborativa;",W9)),1,0)</f>
        <v>1</v>
      </c>
      <c r="AE9" s="12" t="n">
        <f aca="false">IF(ISNUMBER(SEARCH(";mini públicos;",W9)),1,0)</f>
        <v>0</v>
      </c>
      <c r="AF9" s="12" t="n">
        <f aca="false">IF(ISNUMBER(SEARCH(";referendos e iniciativas populares;",W9)),1,0)</f>
        <v>0</v>
      </c>
      <c r="AG9" s="12" t="n">
        <f aca="false">IF(ISNUMBER(SEARCH(";presupuestos participativos;",W9)),1,0)</f>
        <v>0</v>
      </c>
      <c r="AH9" s="12" t="n">
        <f aca="false">IF(ISNUMBER(SEARCH(";planificación;",X9)),1,0)</f>
        <v>0</v>
      </c>
      <c r="AI9" s="12" t="n">
        <f aca="false">IF(ISNUMBER(SEARCH(";implementación;",X9)),1,0)</f>
        <v>0</v>
      </c>
      <c r="AJ9" s="12" t="n">
        <f aca="false">IF(ISNUMBER(SEARCH(";análisis;",X9)),1,0)</f>
        <v>1</v>
      </c>
      <c r="AK9" s="12" t="n">
        <f aca="false">IF(ISNUMBER(SEARCH("traducción",X9)),1,0)</f>
        <v>0</v>
      </c>
      <c r="AL9" s="12" t="n">
        <f aca="false">IF(ISNUMBER(SEARCH(";gobierno local;",Y9)),1,0)</f>
        <v>1</v>
      </c>
      <c r="AM9" s="12" t="n">
        <f aca="false">IF(ISNUMBER(SEARCH(";gobierno nacional;",Y9)),1,0)</f>
        <v>0</v>
      </c>
      <c r="AN9" s="12" t="n">
        <f aca="false">IF(ISNUMBER(SEARCH(";otra institución pública;",Y9)),1,0)</f>
        <v>0</v>
      </c>
      <c r="AO9" s="12" t="n">
        <f aca="false">IF(ISNUMBER(SEARCH(";empresa;",Y9)),1,0)</f>
        <v>0</v>
      </c>
      <c r="AP9" s="12" t="n">
        <f aca="false">IF(ISNUMBER(SEARCH(";universidad;",Y9)),1,0)</f>
        <v>0</v>
      </c>
      <c r="AQ9" s="12" t="n">
        <f aca="false">IF(ISNUMBER(SEARCH(";sociedad civil;",Y9)),1,0)</f>
        <v>0</v>
      </c>
      <c r="AR9" s="12" t="n">
        <f aca="false">IF(ISNUMBER(SEARCH(";organización internacional;",Y9)),1,0)</f>
        <v>0</v>
      </c>
      <c r="AS9" s="12" t="n">
        <f aca="false">IF(ISNUMBER(SEARCH(";privado;",Z9)),1,0)</f>
        <v>0</v>
      </c>
      <c r="AT9" s="12" t="n">
        <f aca="false">IF(ISNUMBER(SEARCH(";academia;",Z9)),1,0)</f>
        <v>0</v>
      </c>
      <c r="AU9" s="12" t="n">
        <f aca="false">IF(ISNUMBER(SEARCH(";gobierno;",Z9)),1,0)</f>
        <v>1</v>
      </c>
      <c r="AV9" s="12" t="n">
        <f aca="false">IF(ISNUMBER(SEARCH(";sociedad civil;",Z9)),1,0)</f>
        <v>1</v>
      </c>
      <c r="AW9" s="12" t="n">
        <f aca="false">IF(ISNUMBER(SEARCH(";nacional;",AA9)),1,0)</f>
        <v>1</v>
      </c>
      <c r="AX9" s="12" t="n">
        <f aca="false">IF(ISNUMBER(SEARCH(";internacional;",AA9)),1,0)</f>
        <v>0</v>
      </c>
      <c r="AY9" s="13" t="n">
        <f aca="false">IF(AND(N9=1,('2 · Índice por país'!$B$25-D9)&gt;'2 · Índice por país'!$B$26),0,N9)</f>
        <v>2</v>
      </c>
      <c r="AZ9" s="12" t="str">
        <f aca="false">IF(SUM(AL9:AR9)&lt;2,"",IF(AL9=1,"GL+","")&amp;IF(AM9=1,"GN+","")&amp;IF(AN9=1,"OIP+","")&amp;IF(AO9=1,"EMP+","")&amp;IF(AP9=1,"UNI+","")&amp;IF(AQ9=1,"SC+","")&amp;IF(AR9=1,"OI+",""))</f>
        <v/>
      </c>
      <c r="BA9" s="12" t="n">
        <f aca="false">IF(AZ9="",0,IF(COUNTIFS($A$1:$A8,A9,$AZ$1:$AZ8,AZ9)=0,1,0))</f>
        <v>0</v>
      </c>
    </row>
    <row r="10" customFormat="false" ht="45.75" hidden="false" customHeight="true" outlineLevel="0" collapsed="false">
      <c r="A10" s="5" t="s">
        <v>147</v>
      </c>
      <c r="B10" s="5" t="s">
        <v>148</v>
      </c>
      <c r="C10" s="6" t="s">
        <v>149</v>
      </c>
      <c r="D10" s="7" t="n">
        <v>2016</v>
      </c>
      <c r="E10" s="6" t="s">
        <v>74</v>
      </c>
      <c r="F10" s="6" t="s">
        <v>150</v>
      </c>
      <c r="G10" s="6" t="s">
        <v>151</v>
      </c>
      <c r="H10" s="6"/>
      <c r="I10" s="6"/>
      <c r="J10" s="8" t="s">
        <v>152</v>
      </c>
      <c r="K10" s="9" t="s">
        <v>60</v>
      </c>
      <c r="L10" s="9" t="s">
        <v>78</v>
      </c>
      <c r="M10" s="9" t="s">
        <v>62</v>
      </c>
      <c r="N10" s="10" t="n">
        <v>2</v>
      </c>
      <c r="O10" s="9" t="s">
        <v>63</v>
      </c>
      <c r="P10" s="9" t="s">
        <v>64</v>
      </c>
      <c r="Q10" s="9" t="s">
        <v>65</v>
      </c>
      <c r="R10" s="9" t="s">
        <v>66</v>
      </c>
      <c r="S10" s="9" t="s">
        <v>106</v>
      </c>
      <c r="T10" s="9" t="s">
        <v>68</v>
      </c>
      <c r="U10" s="9" t="s">
        <v>82</v>
      </c>
      <c r="V10" s="9" t="s">
        <v>83</v>
      </c>
      <c r="W10" s="11" t="str">
        <f aca="false">";"&amp;LOWER(SUBSTITUTE(SUBSTITUTE(SUBSTITUTE(L10,"; ",";"),", ",";"),",",";"))&amp;";"</f>
        <v>;gobernanza colaborativa;</v>
      </c>
      <c r="X10" s="11" t="str">
        <f aca="false">";"&amp;LOWER(SUBSTITUTE(SUBSTITUTE(SUBSTITUTE(M10,"; ",";"),", ",";"),",",";"))&amp;";"</f>
        <v>;análisis;</v>
      </c>
      <c r="Y10" s="11" t="str">
        <f aca="false">";"&amp;LOWER(SUBSTITUTE(SUBSTITUTE(SUBSTITUTE(P10,"; ",";"),", ",";"),",",";"))&amp;";"</f>
        <v>;gobierno nacional;</v>
      </c>
      <c r="Z10" s="11" t="str">
        <f aca="false">";"&amp;LOWER(SUBSTITUTE(SUBSTITUTE(SUBSTITUTE(S10,"; ",";"),", ",";"),",",";"))&amp;";"</f>
        <v>;academia;</v>
      </c>
      <c r="AA10" s="11" t="str">
        <f aca="false">";"&amp;LOWER(SUBSTITUTE(SUBSTITUTE(SUBSTITUTE(T10,"; ",";"),", ",";"),",",";"))&amp;";"</f>
        <v>;nacional;</v>
      </c>
      <c r="AB10" s="11" t="str">
        <f aca="false">";"&amp;LOWER(SUBSTITUTE(SUBSTITUTE(SUBSTITUTE(U10,"; ",";"),", ",";"),",",";"))&amp;";"</f>
        <v>;nlp - tópicos;</v>
      </c>
      <c r="AC10" s="12" t="n">
        <f aca="false">IF(ISNUMBER(SEARCH(";participación digital;",W10)),1,0)</f>
        <v>0</v>
      </c>
      <c r="AD10" s="12" t="n">
        <f aca="false">IF(ISNUMBER(SEARCH(";gobernanza colaborativa;",W10)),1,0)</f>
        <v>1</v>
      </c>
      <c r="AE10" s="12" t="n">
        <f aca="false">IF(ISNUMBER(SEARCH(";mini públicos;",W10)),1,0)</f>
        <v>0</v>
      </c>
      <c r="AF10" s="12" t="n">
        <f aca="false">IF(ISNUMBER(SEARCH(";referendos e iniciativas populares;",W10)),1,0)</f>
        <v>0</v>
      </c>
      <c r="AG10" s="12" t="n">
        <f aca="false">IF(ISNUMBER(SEARCH(";presupuestos participativos;",W10)),1,0)</f>
        <v>0</v>
      </c>
      <c r="AH10" s="12" t="n">
        <f aca="false">IF(ISNUMBER(SEARCH(";planificación;",X10)),1,0)</f>
        <v>0</v>
      </c>
      <c r="AI10" s="12" t="n">
        <f aca="false">IF(ISNUMBER(SEARCH(";implementación;",X10)),1,0)</f>
        <v>0</v>
      </c>
      <c r="AJ10" s="12" t="n">
        <f aca="false">IF(ISNUMBER(SEARCH(";análisis;",X10)),1,0)</f>
        <v>1</v>
      </c>
      <c r="AK10" s="12" t="n">
        <f aca="false">IF(ISNUMBER(SEARCH("traducción",X10)),1,0)</f>
        <v>0</v>
      </c>
      <c r="AL10" s="12" t="n">
        <f aca="false">IF(ISNUMBER(SEARCH(";gobierno local;",Y10)),1,0)</f>
        <v>0</v>
      </c>
      <c r="AM10" s="12" t="n">
        <f aca="false">IF(ISNUMBER(SEARCH(";gobierno nacional;",Y10)),1,0)</f>
        <v>1</v>
      </c>
      <c r="AN10" s="12" t="n">
        <f aca="false">IF(ISNUMBER(SEARCH(";otra institución pública;",Y10)),1,0)</f>
        <v>0</v>
      </c>
      <c r="AO10" s="12" t="n">
        <f aca="false">IF(ISNUMBER(SEARCH(";empresa;",Y10)),1,0)</f>
        <v>0</v>
      </c>
      <c r="AP10" s="12" t="n">
        <f aca="false">IF(ISNUMBER(SEARCH(";universidad;",Y10)),1,0)</f>
        <v>0</v>
      </c>
      <c r="AQ10" s="12" t="n">
        <f aca="false">IF(ISNUMBER(SEARCH(";sociedad civil;",Y10)),1,0)</f>
        <v>0</v>
      </c>
      <c r="AR10" s="12" t="n">
        <f aca="false">IF(ISNUMBER(SEARCH(";organización internacional;",Y10)),1,0)</f>
        <v>0</v>
      </c>
      <c r="AS10" s="12" t="n">
        <f aca="false">IF(ISNUMBER(SEARCH(";privado;",Z10)),1,0)</f>
        <v>0</v>
      </c>
      <c r="AT10" s="12" t="n">
        <f aca="false">IF(ISNUMBER(SEARCH(";academia;",Z10)),1,0)</f>
        <v>1</v>
      </c>
      <c r="AU10" s="12" t="n">
        <f aca="false">IF(ISNUMBER(SEARCH(";gobierno;",Z10)),1,0)</f>
        <v>0</v>
      </c>
      <c r="AV10" s="12" t="n">
        <f aca="false">IF(ISNUMBER(SEARCH(";sociedad civil;",Z10)),1,0)</f>
        <v>0</v>
      </c>
      <c r="AW10" s="12" t="n">
        <f aca="false">IF(ISNUMBER(SEARCH(";nacional;",AA10)),1,0)</f>
        <v>1</v>
      </c>
      <c r="AX10" s="12" t="n">
        <f aca="false">IF(ISNUMBER(SEARCH(";internacional;",AA10)),1,0)</f>
        <v>0</v>
      </c>
      <c r="AY10" s="13" t="n">
        <f aca="false">IF(AND(N10=1,('2 · Índice por país'!$B$25-D10)&gt;'2 · Índice por país'!$B$26),0,N10)</f>
        <v>2</v>
      </c>
      <c r="AZ10" s="12" t="str">
        <f aca="false">IF(SUM(AL10:AR10)&lt;2,"",IF(AL10=1,"GL+","")&amp;IF(AM10=1,"GN+","")&amp;IF(AN10=1,"OIP+","")&amp;IF(AO10=1,"EMP+","")&amp;IF(AP10=1,"UNI+","")&amp;IF(AQ10=1,"SC+","")&amp;IF(AR10=1,"OI+",""))</f>
        <v/>
      </c>
      <c r="BA10" s="12" t="n">
        <f aca="false">IF(AZ10="",0,IF(COUNTIFS($A$1:$A9,A10,$AZ$1:$AZ9,AZ10)=0,1,0))</f>
        <v>0</v>
      </c>
    </row>
    <row r="11" customFormat="false" ht="45.75" hidden="false" customHeight="true" outlineLevel="0" collapsed="false">
      <c r="A11" s="5" t="s">
        <v>147</v>
      </c>
      <c r="B11" s="5" t="s">
        <v>153</v>
      </c>
      <c r="C11" s="6" t="s">
        <v>154</v>
      </c>
      <c r="D11" s="7" t="n">
        <v>2019</v>
      </c>
      <c r="E11" s="6" t="s">
        <v>56</v>
      </c>
      <c r="F11" s="6" t="s">
        <v>155</v>
      </c>
      <c r="G11" s="6" t="s">
        <v>156</v>
      </c>
      <c r="H11" s="6"/>
      <c r="I11" s="6"/>
      <c r="J11" s="8" t="s">
        <v>157</v>
      </c>
      <c r="K11" s="9" t="s">
        <v>60</v>
      </c>
      <c r="L11" s="9" t="s">
        <v>61</v>
      </c>
      <c r="M11" s="9" t="s">
        <v>62</v>
      </c>
      <c r="N11" s="10" t="n">
        <v>2</v>
      </c>
      <c r="O11" s="9" t="s">
        <v>63</v>
      </c>
      <c r="P11" s="9" t="s">
        <v>64</v>
      </c>
      <c r="Q11" s="9" t="s">
        <v>65</v>
      </c>
      <c r="R11" s="9" t="s">
        <v>66</v>
      </c>
      <c r="S11" s="9" t="s">
        <v>135</v>
      </c>
      <c r="T11" s="9" t="s">
        <v>68</v>
      </c>
      <c r="U11" s="9" t="s">
        <v>158</v>
      </c>
      <c r="V11" s="9" t="s">
        <v>83</v>
      </c>
      <c r="W11" s="11" t="str">
        <f aca="false">";"&amp;LOWER(SUBSTITUTE(SUBSTITUTE(SUBSTITUTE(L11,"; ",";"),", ",";"),",",";"))&amp;";"</f>
        <v>;participación digital;gobernanza colaborativa;</v>
      </c>
      <c r="X11" s="11" t="str">
        <f aca="false">";"&amp;LOWER(SUBSTITUTE(SUBSTITUTE(SUBSTITUTE(M11,"; ",";"),", ",";"),",",";"))&amp;";"</f>
        <v>;análisis;</v>
      </c>
      <c r="Y11" s="11" t="str">
        <f aca="false">";"&amp;LOWER(SUBSTITUTE(SUBSTITUTE(SUBSTITUTE(P11,"; ",";"),", ",";"),",",";"))&amp;";"</f>
        <v>;gobierno nacional;</v>
      </c>
      <c r="Z11" s="11" t="str">
        <f aca="false">";"&amp;LOWER(SUBSTITUTE(SUBSTITUTE(SUBSTITUTE(S11,"; ",";"),", ",";"),",",";"))&amp;";"</f>
        <v>;gobierno;</v>
      </c>
      <c r="AA11" s="11" t="str">
        <f aca="false">";"&amp;LOWER(SUBSTITUTE(SUBSTITUTE(SUBSTITUTE(T11,"; ",";"),", ",";"),",",";"))&amp;";"</f>
        <v>;nacional;</v>
      </c>
      <c r="AB11" s="11" t="str">
        <f aca="false">";"&amp;LOWER(SUBSTITUTE(SUBSTITUTE(SUBSTITUTE(U11,"; ",";"),", ",";"),",",";"))&amp;";"</f>
        <v>;nlp;clasificación de texto;modelado de tópicos (lda);redes neuronales recurrentes (rnn);random forest;clasificación de emociones;machine learning;</v>
      </c>
      <c r="AC11" s="12" t="n">
        <f aca="false">IF(ISNUMBER(SEARCH(";participación digital;",W11)),1,0)</f>
        <v>1</v>
      </c>
      <c r="AD11" s="12" t="n">
        <f aca="false">IF(ISNUMBER(SEARCH(";gobernanza colaborativa;",W11)),1,0)</f>
        <v>1</v>
      </c>
      <c r="AE11" s="12" t="n">
        <f aca="false">IF(ISNUMBER(SEARCH(";mini públicos;",W11)),1,0)</f>
        <v>0</v>
      </c>
      <c r="AF11" s="12" t="n">
        <f aca="false">IF(ISNUMBER(SEARCH(";referendos e iniciativas populares;",W11)),1,0)</f>
        <v>0</v>
      </c>
      <c r="AG11" s="12" t="n">
        <f aca="false">IF(ISNUMBER(SEARCH(";presupuestos participativos;",W11)),1,0)</f>
        <v>0</v>
      </c>
      <c r="AH11" s="12" t="n">
        <f aca="false">IF(ISNUMBER(SEARCH(";planificación;",X11)),1,0)</f>
        <v>0</v>
      </c>
      <c r="AI11" s="12" t="n">
        <f aca="false">IF(ISNUMBER(SEARCH(";implementación;",X11)),1,0)</f>
        <v>0</v>
      </c>
      <c r="AJ11" s="12" t="n">
        <f aca="false">IF(ISNUMBER(SEARCH(";análisis;",X11)),1,0)</f>
        <v>1</v>
      </c>
      <c r="AK11" s="12" t="n">
        <f aca="false">IF(ISNUMBER(SEARCH("traducción",X11)),1,0)</f>
        <v>0</v>
      </c>
      <c r="AL11" s="12" t="n">
        <f aca="false">IF(ISNUMBER(SEARCH(";gobierno local;",Y11)),1,0)</f>
        <v>0</v>
      </c>
      <c r="AM11" s="12" t="n">
        <f aca="false">IF(ISNUMBER(SEARCH(";gobierno nacional;",Y11)),1,0)</f>
        <v>1</v>
      </c>
      <c r="AN11" s="12" t="n">
        <f aca="false">IF(ISNUMBER(SEARCH(";otra institución pública;",Y11)),1,0)</f>
        <v>0</v>
      </c>
      <c r="AO11" s="12" t="n">
        <f aca="false">IF(ISNUMBER(SEARCH(";empresa;",Y11)),1,0)</f>
        <v>0</v>
      </c>
      <c r="AP11" s="12" t="n">
        <f aca="false">IF(ISNUMBER(SEARCH(";universidad;",Y11)),1,0)</f>
        <v>0</v>
      </c>
      <c r="AQ11" s="12" t="n">
        <f aca="false">IF(ISNUMBER(SEARCH(";sociedad civil;",Y11)),1,0)</f>
        <v>0</v>
      </c>
      <c r="AR11" s="12" t="n">
        <f aca="false">IF(ISNUMBER(SEARCH(";organización internacional;",Y11)),1,0)</f>
        <v>0</v>
      </c>
      <c r="AS11" s="12" t="n">
        <f aca="false">IF(ISNUMBER(SEARCH(";privado;",Z11)),1,0)</f>
        <v>0</v>
      </c>
      <c r="AT11" s="12" t="n">
        <f aca="false">IF(ISNUMBER(SEARCH(";academia;",Z11)),1,0)</f>
        <v>0</v>
      </c>
      <c r="AU11" s="12" t="n">
        <f aca="false">IF(ISNUMBER(SEARCH(";gobierno;",Z11)),1,0)</f>
        <v>1</v>
      </c>
      <c r="AV11" s="12" t="n">
        <f aca="false">IF(ISNUMBER(SEARCH(";sociedad civil;",Z11)),1,0)</f>
        <v>0</v>
      </c>
      <c r="AW11" s="12" t="n">
        <f aca="false">IF(ISNUMBER(SEARCH(";nacional;",AA11)),1,0)</f>
        <v>1</v>
      </c>
      <c r="AX11" s="12" t="n">
        <f aca="false">IF(ISNUMBER(SEARCH(";internacional;",AA11)),1,0)</f>
        <v>0</v>
      </c>
      <c r="AY11" s="13" t="n">
        <f aca="false">IF(AND(N11=1,('2 · Índice por país'!$B$25-D11)&gt;'2 · Índice por país'!$B$26),0,N11)</f>
        <v>2</v>
      </c>
      <c r="AZ11" s="12" t="str">
        <f aca="false">IF(SUM(AL11:AR11)&lt;2,"",IF(AL11=1,"GL+","")&amp;IF(AM11=1,"GN+","")&amp;IF(AN11=1,"OIP+","")&amp;IF(AO11=1,"EMP+","")&amp;IF(AP11=1,"UNI+","")&amp;IF(AQ11=1,"SC+","")&amp;IF(AR11=1,"OI+",""))</f>
        <v/>
      </c>
      <c r="BA11" s="12" t="n">
        <f aca="false">IF(AZ11="",0,IF(COUNTIFS($A$1:$A10,A11,$AZ$1:$AZ10,AZ11)=0,1,0))</f>
        <v>0</v>
      </c>
    </row>
    <row r="12" customFormat="false" ht="45.75" hidden="false" customHeight="true" outlineLevel="0" collapsed="false">
      <c r="A12" s="5" t="s">
        <v>147</v>
      </c>
      <c r="B12" s="5" t="s">
        <v>159</v>
      </c>
      <c r="C12" s="6" t="s">
        <v>160</v>
      </c>
      <c r="D12" s="7" t="n">
        <v>2021</v>
      </c>
      <c r="E12" s="6" t="s">
        <v>161</v>
      </c>
      <c r="F12" s="6" t="s">
        <v>162</v>
      </c>
      <c r="G12" s="6" t="s">
        <v>163</v>
      </c>
      <c r="H12" s="6"/>
      <c r="I12" s="6" t="s">
        <v>164</v>
      </c>
      <c r="J12" s="8" t="s">
        <v>165</v>
      </c>
      <c r="K12" s="9" t="s">
        <v>60</v>
      </c>
      <c r="L12" s="9" t="s">
        <v>78</v>
      </c>
      <c r="M12" s="9" t="s">
        <v>79</v>
      </c>
      <c r="N12" s="10" t="n">
        <v>2</v>
      </c>
      <c r="O12" s="9" t="s">
        <v>63</v>
      </c>
      <c r="P12" s="9" t="s">
        <v>166</v>
      </c>
      <c r="Q12" s="9" t="s">
        <v>167</v>
      </c>
      <c r="R12" s="9" t="s">
        <v>66</v>
      </c>
      <c r="S12" s="9" t="s">
        <v>67</v>
      </c>
      <c r="T12" s="9" t="s">
        <v>68</v>
      </c>
      <c r="U12" s="9" t="s">
        <v>168</v>
      </c>
      <c r="V12" s="9" t="s">
        <v>83</v>
      </c>
      <c r="W12" s="11" t="str">
        <f aca="false">";"&amp;LOWER(SUBSTITUTE(SUBSTITUTE(SUBSTITUTE(L12,"; ",";"),", ",";"),",",";"))&amp;";"</f>
        <v>;gobernanza colaborativa;</v>
      </c>
      <c r="X12" s="11" t="str">
        <f aca="false">";"&amp;LOWER(SUBSTITUTE(SUBSTITUTE(SUBSTITUTE(M12,"; ",";"),", ",";"),",",";"))&amp;";"</f>
        <v>;implementación;análisis;</v>
      </c>
      <c r="Y12" s="11" t="str">
        <f aca="false">";"&amp;LOWER(SUBSTITUTE(SUBSTITUTE(SUBSTITUTE(P12,"; ",";"),", ",";"),",",";"))&amp;";"</f>
        <v>;sociedad civil;empresa;</v>
      </c>
      <c r="Z12" s="11" t="str">
        <f aca="false">";"&amp;LOWER(SUBSTITUTE(SUBSTITUTE(SUBSTITUTE(S12,"; ",";"),", ",";"),",",";"))&amp;";"</f>
        <v>;privado;</v>
      </c>
      <c r="AA12" s="11" t="str">
        <f aca="false">";"&amp;LOWER(SUBSTITUTE(SUBSTITUTE(SUBSTITUTE(T12,"; ",";"),", ",";"),",",";"))&amp;";"</f>
        <v>;nacional;</v>
      </c>
      <c r="AB12" s="11" t="str">
        <f aca="false">";"&amp;LOWER(SUBSTITUTE(SUBSTITUTE(SUBSTITUTE(U12,"; ",";"),", ",";"),",",";"))&amp;";"</f>
        <v>;nlp;</v>
      </c>
      <c r="AC12" s="12" t="n">
        <f aca="false">IF(ISNUMBER(SEARCH(";participación digital;",W12)),1,0)</f>
        <v>0</v>
      </c>
      <c r="AD12" s="12" t="n">
        <f aca="false">IF(ISNUMBER(SEARCH(";gobernanza colaborativa;",W12)),1,0)</f>
        <v>1</v>
      </c>
      <c r="AE12" s="12" t="n">
        <f aca="false">IF(ISNUMBER(SEARCH(";mini públicos;",W12)),1,0)</f>
        <v>0</v>
      </c>
      <c r="AF12" s="12" t="n">
        <f aca="false">IF(ISNUMBER(SEARCH(";referendos e iniciativas populares;",W12)),1,0)</f>
        <v>0</v>
      </c>
      <c r="AG12" s="12" t="n">
        <f aca="false">IF(ISNUMBER(SEARCH(";presupuestos participativos;",W12)),1,0)</f>
        <v>0</v>
      </c>
      <c r="AH12" s="12" t="n">
        <f aca="false">IF(ISNUMBER(SEARCH(";planificación;",X12)),1,0)</f>
        <v>0</v>
      </c>
      <c r="AI12" s="12" t="n">
        <f aca="false">IF(ISNUMBER(SEARCH(";implementación;",X12)),1,0)</f>
        <v>1</v>
      </c>
      <c r="AJ12" s="12" t="n">
        <f aca="false">IF(ISNUMBER(SEARCH(";análisis;",X12)),1,0)</f>
        <v>1</v>
      </c>
      <c r="AK12" s="12" t="n">
        <f aca="false">IF(ISNUMBER(SEARCH("traducción",X12)),1,0)</f>
        <v>0</v>
      </c>
      <c r="AL12" s="12" t="n">
        <f aca="false">IF(ISNUMBER(SEARCH(";gobierno local;",Y12)),1,0)</f>
        <v>0</v>
      </c>
      <c r="AM12" s="12" t="n">
        <f aca="false">IF(ISNUMBER(SEARCH(";gobierno nacional;",Y12)),1,0)</f>
        <v>0</v>
      </c>
      <c r="AN12" s="12" t="n">
        <f aca="false">IF(ISNUMBER(SEARCH(";otra institución pública;",Y12)),1,0)</f>
        <v>0</v>
      </c>
      <c r="AO12" s="12" t="n">
        <f aca="false">IF(ISNUMBER(SEARCH(";empresa;",Y12)),1,0)</f>
        <v>1</v>
      </c>
      <c r="AP12" s="12" t="n">
        <f aca="false">IF(ISNUMBER(SEARCH(";universidad;",Y12)),1,0)</f>
        <v>0</v>
      </c>
      <c r="AQ12" s="12" t="n">
        <f aca="false">IF(ISNUMBER(SEARCH(";sociedad civil;",Y12)),1,0)</f>
        <v>1</v>
      </c>
      <c r="AR12" s="12" t="n">
        <f aca="false">IF(ISNUMBER(SEARCH(";organización internacional;",Y12)),1,0)</f>
        <v>0</v>
      </c>
      <c r="AS12" s="12" t="n">
        <f aca="false">IF(ISNUMBER(SEARCH(";privado;",Z12)),1,0)</f>
        <v>1</v>
      </c>
      <c r="AT12" s="12" t="n">
        <f aca="false">IF(ISNUMBER(SEARCH(";academia;",Z12)),1,0)</f>
        <v>0</v>
      </c>
      <c r="AU12" s="12" t="n">
        <f aca="false">IF(ISNUMBER(SEARCH(";gobierno;",Z12)),1,0)</f>
        <v>0</v>
      </c>
      <c r="AV12" s="12" t="n">
        <f aca="false">IF(ISNUMBER(SEARCH(";sociedad civil;",Z12)),1,0)</f>
        <v>0</v>
      </c>
      <c r="AW12" s="12" t="n">
        <f aca="false">IF(ISNUMBER(SEARCH(";nacional;",AA12)),1,0)</f>
        <v>1</v>
      </c>
      <c r="AX12" s="12" t="n">
        <f aca="false">IF(ISNUMBER(SEARCH(";internacional;",AA12)),1,0)</f>
        <v>0</v>
      </c>
      <c r="AY12" s="13" t="n">
        <f aca="false">IF(AND(N12=1,('2 · Índice por país'!$B$25-D12)&gt;'2 · Índice por país'!$B$26),0,N12)</f>
        <v>2</v>
      </c>
      <c r="AZ12" s="12" t="str">
        <f aca="false">IF(SUM(AL12:AR12)&lt;2,"",IF(AL12=1,"GL+","")&amp;IF(AM12=1,"GN+","")&amp;IF(AN12=1,"OIP+","")&amp;IF(AO12=1,"EMP+","")&amp;IF(AP12=1,"UNI+","")&amp;IF(AQ12=1,"SC+","")&amp;IF(AR12=1,"OI+",""))</f>
        <v>EMP+SC+</v>
      </c>
      <c r="BA12" s="12" t="n">
        <f aca="false">IF(AZ12="",0,IF(COUNTIFS($A$1:$A11,A12,$AZ$1:$AZ11,AZ12)=0,1,0))</f>
        <v>1</v>
      </c>
    </row>
    <row r="13" customFormat="false" ht="45.75" hidden="false" customHeight="true" outlineLevel="0" collapsed="false">
      <c r="A13" s="5" t="s">
        <v>147</v>
      </c>
      <c r="B13" s="5" t="s">
        <v>169</v>
      </c>
      <c r="C13" s="6" t="s">
        <v>170</v>
      </c>
      <c r="D13" s="7" t="n">
        <v>2022</v>
      </c>
      <c r="E13" s="6" t="s">
        <v>161</v>
      </c>
      <c r="F13" s="6" t="s">
        <v>171</v>
      </c>
      <c r="G13" s="6" t="s">
        <v>172</v>
      </c>
      <c r="H13" s="6"/>
      <c r="I13" s="6"/>
      <c r="J13" s="16" t="s">
        <v>173</v>
      </c>
      <c r="K13" s="9" t="s">
        <v>60</v>
      </c>
      <c r="L13" s="9" t="s">
        <v>78</v>
      </c>
      <c r="M13" s="9" t="s">
        <v>62</v>
      </c>
      <c r="N13" s="10" t="n">
        <v>2</v>
      </c>
      <c r="O13" s="9" t="s">
        <v>63</v>
      </c>
      <c r="P13" s="9" t="s">
        <v>174</v>
      </c>
      <c r="Q13" s="9" t="s">
        <v>67</v>
      </c>
      <c r="R13" s="9" t="s">
        <v>66</v>
      </c>
      <c r="S13" s="9" t="s">
        <v>67</v>
      </c>
      <c r="T13" s="9" t="s">
        <v>68</v>
      </c>
      <c r="U13" s="9" t="s">
        <v>82</v>
      </c>
      <c r="V13" s="9" t="s">
        <v>83</v>
      </c>
      <c r="W13" s="11" t="str">
        <f aca="false">";"&amp;LOWER(SUBSTITUTE(SUBSTITUTE(SUBSTITUTE(L13,"; ",";"),", ",";"),",",";"))&amp;";"</f>
        <v>;gobernanza colaborativa;</v>
      </c>
      <c r="X13" s="11" t="str">
        <f aca="false">";"&amp;LOWER(SUBSTITUTE(SUBSTITUTE(SUBSTITUTE(M13,"; ",";"),", ",";"),",",";"))&amp;";"</f>
        <v>;análisis;</v>
      </c>
      <c r="Y13" s="11" t="str">
        <f aca="false">";"&amp;LOWER(SUBSTITUTE(SUBSTITUTE(SUBSTITUTE(P13,"; ",";"),", ",";"),",",";"))&amp;";"</f>
        <v>;universidad;</v>
      </c>
      <c r="Z13" s="11" t="str">
        <f aca="false">";"&amp;LOWER(SUBSTITUTE(SUBSTITUTE(SUBSTITUTE(S13,"; ",";"),", ",";"),",",";"))&amp;";"</f>
        <v>;privado;</v>
      </c>
      <c r="AA13" s="11" t="str">
        <f aca="false">";"&amp;LOWER(SUBSTITUTE(SUBSTITUTE(SUBSTITUTE(T13,"; ",";"),", ",";"),",",";"))&amp;";"</f>
        <v>;nacional;</v>
      </c>
      <c r="AB13" s="11" t="str">
        <f aca="false">";"&amp;LOWER(SUBSTITUTE(SUBSTITUTE(SUBSTITUTE(U13,"; ",";"),", ",";"),",",";"))&amp;";"</f>
        <v>;nlp - tópicos;</v>
      </c>
      <c r="AC13" s="12" t="n">
        <f aca="false">IF(ISNUMBER(SEARCH(";participación digital;",W13)),1,0)</f>
        <v>0</v>
      </c>
      <c r="AD13" s="12" t="n">
        <f aca="false">IF(ISNUMBER(SEARCH(";gobernanza colaborativa;",W13)),1,0)</f>
        <v>1</v>
      </c>
      <c r="AE13" s="12" t="n">
        <f aca="false">IF(ISNUMBER(SEARCH(";mini públicos;",W13)),1,0)</f>
        <v>0</v>
      </c>
      <c r="AF13" s="12" t="n">
        <f aca="false">IF(ISNUMBER(SEARCH(";referendos e iniciativas populares;",W13)),1,0)</f>
        <v>0</v>
      </c>
      <c r="AG13" s="12" t="n">
        <f aca="false">IF(ISNUMBER(SEARCH(";presupuestos participativos;",W13)),1,0)</f>
        <v>0</v>
      </c>
      <c r="AH13" s="12" t="n">
        <f aca="false">IF(ISNUMBER(SEARCH(";planificación;",X13)),1,0)</f>
        <v>0</v>
      </c>
      <c r="AI13" s="12" t="n">
        <f aca="false">IF(ISNUMBER(SEARCH(";implementación;",X13)),1,0)</f>
        <v>0</v>
      </c>
      <c r="AJ13" s="12" t="n">
        <f aca="false">IF(ISNUMBER(SEARCH(";análisis;",X13)),1,0)</f>
        <v>1</v>
      </c>
      <c r="AK13" s="12" t="n">
        <f aca="false">IF(ISNUMBER(SEARCH("traducción",X13)),1,0)</f>
        <v>0</v>
      </c>
      <c r="AL13" s="12" t="n">
        <f aca="false">IF(ISNUMBER(SEARCH(";gobierno local;",Y13)),1,0)</f>
        <v>0</v>
      </c>
      <c r="AM13" s="12" t="n">
        <f aca="false">IF(ISNUMBER(SEARCH(";gobierno nacional;",Y13)),1,0)</f>
        <v>0</v>
      </c>
      <c r="AN13" s="12" t="n">
        <f aca="false">IF(ISNUMBER(SEARCH(";otra institución pública;",Y13)),1,0)</f>
        <v>0</v>
      </c>
      <c r="AO13" s="12" t="n">
        <f aca="false">IF(ISNUMBER(SEARCH(";empresa;",Y13)),1,0)</f>
        <v>0</v>
      </c>
      <c r="AP13" s="12" t="n">
        <f aca="false">IF(ISNUMBER(SEARCH(";universidad;",Y13)),1,0)</f>
        <v>1</v>
      </c>
      <c r="AQ13" s="12" t="n">
        <f aca="false">IF(ISNUMBER(SEARCH(";sociedad civil;",Y13)),1,0)</f>
        <v>0</v>
      </c>
      <c r="AR13" s="12" t="n">
        <f aca="false">IF(ISNUMBER(SEARCH(";organización internacional;",Y13)),1,0)</f>
        <v>0</v>
      </c>
      <c r="AS13" s="12" t="n">
        <f aca="false">IF(ISNUMBER(SEARCH(";privado;",Z13)),1,0)</f>
        <v>1</v>
      </c>
      <c r="AT13" s="12" t="n">
        <f aca="false">IF(ISNUMBER(SEARCH(";academia;",Z13)),1,0)</f>
        <v>0</v>
      </c>
      <c r="AU13" s="12" t="n">
        <f aca="false">IF(ISNUMBER(SEARCH(";gobierno;",Z13)),1,0)</f>
        <v>0</v>
      </c>
      <c r="AV13" s="12" t="n">
        <f aca="false">IF(ISNUMBER(SEARCH(";sociedad civil;",Z13)),1,0)</f>
        <v>0</v>
      </c>
      <c r="AW13" s="12" t="n">
        <f aca="false">IF(ISNUMBER(SEARCH(";nacional;",AA13)),1,0)</f>
        <v>1</v>
      </c>
      <c r="AX13" s="12" t="n">
        <f aca="false">IF(ISNUMBER(SEARCH(";internacional;",AA13)),1,0)</f>
        <v>0</v>
      </c>
      <c r="AY13" s="13" t="n">
        <f aca="false">IF(AND(N13=1,('2 · Índice por país'!$B$25-D13)&gt;'2 · Índice por país'!$B$26),0,N13)</f>
        <v>2</v>
      </c>
      <c r="AZ13" s="12" t="str">
        <f aca="false">IF(SUM(AL13:AR13)&lt;2,"",IF(AL13=1,"GL+","")&amp;IF(AM13=1,"GN+","")&amp;IF(AN13=1,"OIP+","")&amp;IF(AO13=1,"EMP+","")&amp;IF(AP13=1,"UNI+","")&amp;IF(AQ13=1,"SC+","")&amp;IF(AR13=1,"OI+",""))</f>
        <v/>
      </c>
      <c r="BA13" s="12" t="n">
        <f aca="false">IF(AZ13="",0,IF(COUNTIFS($A$1:$A12,A13,$AZ$1:$AZ12,AZ13)=0,1,0))</f>
        <v>0</v>
      </c>
    </row>
    <row r="14" customFormat="false" ht="45.75" hidden="false" customHeight="true" outlineLevel="0" collapsed="false">
      <c r="A14" s="5" t="s">
        <v>147</v>
      </c>
      <c r="B14" s="5" t="s">
        <v>175</v>
      </c>
      <c r="C14" s="6" t="s">
        <v>176</v>
      </c>
      <c r="D14" s="7" t="n">
        <v>2020</v>
      </c>
      <c r="E14" s="6" t="s">
        <v>56</v>
      </c>
      <c r="F14" s="6" t="s">
        <v>177</v>
      </c>
      <c r="G14" s="6" t="s">
        <v>178</v>
      </c>
      <c r="H14" s="6"/>
      <c r="I14" s="6" t="s">
        <v>179</v>
      </c>
      <c r="J14" s="16" t="s">
        <v>180</v>
      </c>
      <c r="K14" s="9" t="s">
        <v>60</v>
      </c>
      <c r="L14" s="9" t="s">
        <v>102</v>
      </c>
      <c r="M14" s="9" t="s">
        <v>181</v>
      </c>
      <c r="N14" s="10" t="n">
        <v>2</v>
      </c>
      <c r="O14" s="9" t="s">
        <v>63</v>
      </c>
      <c r="P14" s="9" t="s">
        <v>182</v>
      </c>
      <c r="Q14" s="9" t="s">
        <v>167</v>
      </c>
      <c r="R14" s="9" t="s">
        <v>105</v>
      </c>
      <c r="S14" s="9" t="s">
        <v>106</v>
      </c>
      <c r="T14" s="9" t="s">
        <v>81</v>
      </c>
      <c r="U14" s="9" t="s">
        <v>183</v>
      </c>
      <c r="V14" s="9" t="s">
        <v>83</v>
      </c>
      <c r="W14" s="11" t="str">
        <f aca="false">";"&amp;LOWER(SUBSTITUTE(SUBSTITUTE(SUBSTITUTE(L14,"; ",";"),", ",";"),",",";"))&amp;";"</f>
        <v>;mini públicos;</v>
      </c>
      <c r="X14" s="11" t="str">
        <f aca="false">";"&amp;LOWER(SUBSTITUTE(SUBSTITUTE(SUBSTITUTE(M14,"; ",";"),", ",";"),",",";"))&amp;";"</f>
        <v>;implementación;planificación;</v>
      </c>
      <c r="Y14" s="11" t="str">
        <f aca="false">";"&amp;LOWER(SUBSTITUTE(SUBSTITUTE(SUBSTITUTE(P14,"; ",";"),", ",";"),",",";"))&amp;";"</f>
        <v>;gobierno nacional;universidad;sociedad civil;</v>
      </c>
      <c r="Z14" s="11" t="str">
        <f aca="false">";"&amp;LOWER(SUBSTITUTE(SUBSTITUTE(SUBSTITUTE(S14,"; ",";"),", ",";"),",",";"))&amp;";"</f>
        <v>;academia;</v>
      </c>
      <c r="AA14" s="11" t="str">
        <f aca="false">";"&amp;LOWER(SUBSTITUTE(SUBSTITUTE(SUBSTITUTE(T14,"; ",";"),", ",";"),",",";"))&amp;";"</f>
        <v>;internacional;</v>
      </c>
      <c r="AB14" s="11" t="str">
        <f aca="false">";"&amp;LOWER(SUBSTITUTE(SUBSTITUTE(SUBSTITUTE(U14,"; ",";"),", ",";"),",",";"))&amp;";"</f>
        <v>;moderación/facilitación automatizada;sistema de reglas/temporización;muestreo estadístico asistido por ia;</v>
      </c>
      <c r="AC14" s="12" t="n">
        <f aca="false">IF(ISNUMBER(SEARCH(";participación digital;",W14)),1,0)</f>
        <v>0</v>
      </c>
      <c r="AD14" s="12" t="n">
        <f aca="false">IF(ISNUMBER(SEARCH(";gobernanza colaborativa;",W14)),1,0)</f>
        <v>0</v>
      </c>
      <c r="AE14" s="12" t="n">
        <f aca="false">IF(ISNUMBER(SEARCH(";mini públicos;",W14)),1,0)</f>
        <v>1</v>
      </c>
      <c r="AF14" s="12" t="n">
        <f aca="false">IF(ISNUMBER(SEARCH(";referendos e iniciativas populares;",W14)),1,0)</f>
        <v>0</v>
      </c>
      <c r="AG14" s="12" t="n">
        <f aca="false">IF(ISNUMBER(SEARCH(";presupuestos participativos;",W14)),1,0)</f>
        <v>0</v>
      </c>
      <c r="AH14" s="12" t="n">
        <f aca="false">IF(ISNUMBER(SEARCH(";planificación;",X14)),1,0)</f>
        <v>1</v>
      </c>
      <c r="AI14" s="12" t="n">
        <f aca="false">IF(ISNUMBER(SEARCH(";implementación;",X14)),1,0)</f>
        <v>1</v>
      </c>
      <c r="AJ14" s="12" t="n">
        <f aca="false">IF(ISNUMBER(SEARCH(";análisis;",X14)),1,0)</f>
        <v>0</v>
      </c>
      <c r="AK14" s="12" t="n">
        <f aca="false">IF(ISNUMBER(SEARCH("traducción",X14)),1,0)</f>
        <v>0</v>
      </c>
      <c r="AL14" s="12" t="n">
        <f aca="false">IF(ISNUMBER(SEARCH(";gobierno local;",Y14)),1,0)</f>
        <v>0</v>
      </c>
      <c r="AM14" s="12" t="n">
        <f aca="false">IF(ISNUMBER(SEARCH(";gobierno nacional;",Y14)),1,0)</f>
        <v>1</v>
      </c>
      <c r="AN14" s="12" t="n">
        <f aca="false">IF(ISNUMBER(SEARCH(";otra institución pública;",Y14)),1,0)</f>
        <v>0</v>
      </c>
      <c r="AO14" s="12" t="n">
        <f aca="false">IF(ISNUMBER(SEARCH(";empresa;",Y14)),1,0)</f>
        <v>0</v>
      </c>
      <c r="AP14" s="12" t="n">
        <f aca="false">IF(ISNUMBER(SEARCH(";universidad;",Y14)),1,0)</f>
        <v>1</v>
      </c>
      <c r="AQ14" s="12" t="n">
        <f aca="false">IF(ISNUMBER(SEARCH(";sociedad civil;",Y14)),1,0)</f>
        <v>1</v>
      </c>
      <c r="AR14" s="12" t="n">
        <f aca="false">IF(ISNUMBER(SEARCH(";organización internacional;",Y14)),1,0)</f>
        <v>0</v>
      </c>
      <c r="AS14" s="12" t="n">
        <f aca="false">IF(ISNUMBER(SEARCH(";privado;",Z14)),1,0)</f>
        <v>0</v>
      </c>
      <c r="AT14" s="12" t="n">
        <f aca="false">IF(ISNUMBER(SEARCH(";academia;",Z14)),1,0)</f>
        <v>1</v>
      </c>
      <c r="AU14" s="12" t="n">
        <f aca="false">IF(ISNUMBER(SEARCH(";gobierno;",Z14)),1,0)</f>
        <v>0</v>
      </c>
      <c r="AV14" s="12" t="n">
        <f aca="false">IF(ISNUMBER(SEARCH(";sociedad civil;",Z14)),1,0)</f>
        <v>0</v>
      </c>
      <c r="AW14" s="12" t="n">
        <f aca="false">IF(ISNUMBER(SEARCH(";nacional;",AA14)),1,0)</f>
        <v>0</v>
      </c>
      <c r="AX14" s="12" t="n">
        <f aca="false">IF(ISNUMBER(SEARCH(";internacional;",AA14)),1,0)</f>
        <v>1</v>
      </c>
      <c r="AY14" s="13" t="n">
        <f aca="false">IF(AND(N14=1,('2 · Índice por país'!$B$25-D14)&gt;'2 · Índice por país'!$B$26),0,N14)</f>
        <v>2</v>
      </c>
      <c r="AZ14" s="12" t="str">
        <f aca="false">IF(SUM(AL14:AR14)&lt;2,"",IF(AL14=1,"GL+","")&amp;IF(AM14=1,"GN+","")&amp;IF(AN14=1,"OIP+","")&amp;IF(AO14=1,"EMP+","")&amp;IF(AP14=1,"UNI+","")&amp;IF(AQ14=1,"SC+","")&amp;IF(AR14=1,"OI+",""))</f>
        <v>GN+UNI+SC+</v>
      </c>
      <c r="BA14" s="12" t="n">
        <f aca="false">IF(AZ14="",0,IF(COUNTIFS($A$1:$A13,A14,$AZ$1:$AZ13,AZ14)=0,1,0))</f>
        <v>1</v>
      </c>
    </row>
    <row r="15" customFormat="false" ht="45.75" hidden="false" customHeight="true" outlineLevel="0" collapsed="false">
      <c r="A15" s="5" t="s">
        <v>147</v>
      </c>
      <c r="B15" s="5" t="s">
        <v>184</v>
      </c>
      <c r="C15" s="6" t="s">
        <v>185</v>
      </c>
      <c r="D15" s="7" t="n">
        <v>2023</v>
      </c>
      <c r="E15" s="6" t="s">
        <v>161</v>
      </c>
      <c r="F15" s="6" t="s">
        <v>186</v>
      </c>
      <c r="G15" s="6" t="s">
        <v>172</v>
      </c>
      <c r="H15" s="6"/>
      <c r="I15" s="6"/>
      <c r="J15" s="16" t="s">
        <v>187</v>
      </c>
      <c r="K15" s="9" t="s">
        <v>60</v>
      </c>
      <c r="L15" s="9" t="s">
        <v>78</v>
      </c>
      <c r="M15" s="9" t="s">
        <v>79</v>
      </c>
      <c r="N15" s="10" t="n">
        <v>2</v>
      </c>
      <c r="O15" s="9" t="s">
        <v>63</v>
      </c>
      <c r="P15" s="9" t="s">
        <v>174</v>
      </c>
      <c r="Q15" s="9" t="s">
        <v>67</v>
      </c>
      <c r="R15" s="9" t="s">
        <v>66</v>
      </c>
      <c r="S15" s="9" t="s">
        <v>67</v>
      </c>
      <c r="T15" s="9" t="s">
        <v>68</v>
      </c>
      <c r="U15" s="9" t="s">
        <v>82</v>
      </c>
      <c r="V15" s="9" t="s">
        <v>83</v>
      </c>
      <c r="W15" s="11" t="str">
        <f aca="false">";"&amp;LOWER(SUBSTITUTE(SUBSTITUTE(SUBSTITUTE(L15,"; ",";"),", ",";"),",",";"))&amp;";"</f>
        <v>;gobernanza colaborativa;</v>
      </c>
      <c r="X15" s="11" t="str">
        <f aca="false">";"&amp;LOWER(SUBSTITUTE(SUBSTITUTE(SUBSTITUTE(M15,"; ",";"),", ",";"),",",";"))&amp;";"</f>
        <v>;implementación;análisis;</v>
      </c>
      <c r="Y15" s="11" t="str">
        <f aca="false">";"&amp;LOWER(SUBSTITUTE(SUBSTITUTE(SUBSTITUTE(P15,"; ",";"),", ",";"),",",";"))&amp;";"</f>
        <v>;universidad;</v>
      </c>
      <c r="Z15" s="11" t="str">
        <f aca="false">";"&amp;LOWER(SUBSTITUTE(SUBSTITUTE(SUBSTITUTE(S15,"; ",";"),", ",";"),",",";"))&amp;";"</f>
        <v>;privado;</v>
      </c>
      <c r="AA15" s="11" t="str">
        <f aca="false">";"&amp;LOWER(SUBSTITUTE(SUBSTITUTE(SUBSTITUTE(T15,"; ",";"),", ",";"),",",";"))&amp;";"</f>
        <v>;nacional;</v>
      </c>
      <c r="AB15" s="11" t="str">
        <f aca="false">";"&amp;LOWER(SUBSTITUTE(SUBSTITUTE(SUBSTITUTE(U15,"; ",";"),", ",";"),",",";"))&amp;";"</f>
        <v>;nlp - tópicos;</v>
      </c>
      <c r="AC15" s="12" t="n">
        <f aca="false">IF(ISNUMBER(SEARCH(";participación digital;",W15)),1,0)</f>
        <v>0</v>
      </c>
      <c r="AD15" s="12" t="n">
        <f aca="false">IF(ISNUMBER(SEARCH(";gobernanza colaborativa;",W15)),1,0)</f>
        <v>1</v>
      </c>
      <c r="AE15" s="12" t="n">
        <f aca="false">IF(ISNUMBER(SEARCH(";mini públicos;",W15)),1,0)</f>
        <v>0</v>
      </c>
      <c r="AF15" s="12" t="n">
        <f aca="false">IF(ISNUMBER(SEARCH(";referendos e iniciativas populares;",W15)),1,0)</f>
        <v>0</v>
      </c>
      <c r="AG15" s="12" t="n">
        <f aca="false">IF(ISNUMBER(SEARCH(";presupuestos participativos;",W15)),1,0)</f>
        <v>0</v>
      </c>
      <c r="AH15" s="12" t="n">
        <f aca="false">IF(ISNUMBER(SEARCH(";planificación;",X15)),1,0)</f>
        <v>0</v>
      </c>
      <c r="AI15" s="12" t="n">
        <f aca="false">IF(ISNUMBER(SEARCH(";implementación;",X15)),1,0)</f>
        <v>1</v>
      </c>
      <c r="AJ15" s="12" t="n">
        <f aca="false">IF(ISNUMBER(SEARCH(";análisis;",X15)),1,0)</f>
        <v>1</v>
      </c>
      <c r="AK15" s="12" t="n">
        <f aca="false">IF(ISNUMBER(SEARCH("traducción",X15)),1,0)</f>
        <v>0</v>
      </c>
      <c r="AL15" s="12" t="n">
        <f aca="false">IF(ISNUMBER(SEARCH(";gobierno local;",Y15)),1,0)</f>
        <v>0</v>
      </c>
      <c r="AM15" s="12" t="n">
        <f aca="false">IF(ISNUMBER(SEARCH(";gobierno nacional;",Y15)),1,0)</f>
        <v>0</v>
      </c>
      <c r="AN15" s="12" t="n">
        <f aca="false">IF(ISNUMBER(SEARCH(";otra institución pública;",Y15)),1,0)</f>
        <v>0</v>
      </c>
      <c r="AO15" s="12" t="n">
        <f aca="false">IF(ISNUMBER(SEARCH(";empresa;",Y15)),1,0)</f>
        <v>0</v>
      </c>
      <c r="AP15" s="12" t="n">
        <f aca="false">IF(ISNUMBER(SEARCH(";universidad;",Y15)),1,0)</f>
        <v>1</v>
      </c>
      <c r="AQ15" s="12" t="n">
        <f aca="false">IF(ISNUMBER(SEARCH(";sociedad civil;",Y15)),1,0)</f>
        <v>0</v>
      </c>
      <c r="AR15" s="12" t="n">
        <f aca="false">IF(ISNUMBER(SEARCH(";organización internacional;",Y15)),1,0)</f>
        <v>0</v>
      </c>
      <c r="AS15" s="12" t="n">
        <f aca="false">IF(ISNUMBER(SEARCH(";privado;",Z15)),1,0)</f>
        <v>1</v>
      </c>
      <c r="AT15" s="12" t="n">
        <f aca="false">IF(ISNUMBER(SEARCH(";academia;",Z15)),1,0)</f>
        <v>0</v>
      </c>
      <c r="AU15" s="12" t="n">
        <f aca="false">IF(ISNUMBER(SEARCH(";gobierno;",Z15)),1,0)</f>
        <v>0</v>
      </c>
      <c r="AV15" s="12" t="n">
        <f aca="false">IF(ISNUMBER(SEARCH(";sociedad civil;",Z15)),1,0)</f>
        <v>0</v>
      </c>
      <c r="AW15" s="12" t="n">
        <f aca="false">IF(ISNUMBER(SEARCH(";nacional;",AA15)),1,0)</f>
        <v>1</v>
      </c>
      <c r="AX15" s="12" t="n">
        <f aca="false">IF(ISNUMBER(SEARCH(";internacional;",AA15)),1,0)</f>
        <v>0</v>
      </c>
      <c r="AY15" s="13" t="n">
        <f aca="false">IF(AND(N15=1,('2 · Índice por país'!$B$25-D15)&gt;'2 · Índice por país'!$B$26),0,N15)</f>
        <v>2</v>
      </c>
      <c r="AZ15" s="12" t="str">
        <f aca="false">IF(SUM(AL15:AR15)&lt;2,"",IF(AL15=1,"GL+","")&amp;IF(AM15=1,"GN+","")&amp;IF(AN15=1,"OIP+","")&amp;IF(AO15=1,"EMP+","")&amp;IF(AP15=1,"UNI+","")&amp;IF(AQ15=1,"SC+","")&amp;IF(AR15=1,"OI+",""))</f>
        <v/>
      </c>
      <c r="BA15" s="12" t="n">
        <f aca="false">IF(AZ15="",0,IF(COUNTIFS($A$1:$A14,A15,$AZ$1:$AZ14,AZ15)=0,1,0))</f>
        <v>0</v>
      </c>
    </row>
    <row r="16" customFormat="false" ht="45.75" hidden="false" customHeight="true" outlineLevel="0" collapsed="false">
      <c r="A16" s="5" t="s">
        <v>147</v>
      </c>
      <c r="B16" s="5" t="s">
        <v>188</v>
      </c>
      <c r="C16" s="6" t="s">
        <v>189</v>
      </c>
      <c r="D16" s="7" t="n">
        <v>2023</v>
      </c>
      <c r="E16" s="6" t="s">
        <v>161</v>
      </c>
      <c r="F16" s="6" t="s">
        <v>190</v>
      </c>
      <c r="G16" s="6" t="s">
        <v>191</v>
      </c>
      <c r="H16" s="6"/>
      <c r="I16" s="6"/>
      <c r="J16" s="8" t="s">
        <v>192</v>
      </c>
      <c r="K16" s="9" t="s">
        <v>60</v>
      </c>
      <c r="L16" s="9" t="s">
        <v>78</v>
      </c>
      <c r="M16" s="9" t="s">
        <v>62</v>
      </c>
      <c r="N16" s="10" t="n">
        <v>2</v>
      </c>
      <c r="O16" s="9" t="s">
        <v>63</v>
      </c>
      <c r="P16" s="9" t="s">
        <v>64</v>
      </c>
      <c r="Q16" s="9" t="s">
        <v>65</v>
      </c>
      <c r="R16" s="9" t="s">
        <v>66</v>
      </c>
      <c r="S16" s="9" t="s">
        <v>106</v>
      </c>
      <c r="T16" s="9" t="s">
        <v>68</v>
      </c>
      <c r="U16" s="9" t="s">
        <v>82</v>
      </c>
      <c r="V16" s="9" t="s">
        <v>83</v>
      </c>
      <c r="W16" s="11" t="str">
        <f aca="false">";"&amp;LOWER(SUBSTITUTE(SUBSTITUTE(SUBSTITUTE(L16,"; ",";"),", ",";"),",",";"))&amp;";"</f>
        <v>;gobernanza colaborativa;</v>
      </c>
      <c r="X16" s="11" t="str">
        <f aca="false">";"&amp;LOWER(SUBSTITUTE(SUBSTITUTE(SUBSTITUTE(M16,"; ",";"),", ",";"),",",";"))&amp;";"</f>
        <v>;análisis;</v>
      </c>
      <c r="Y16" s="11" t="str">
        <f aca="false">";"&amp;LOWER(SUBSTITUTE(SUBSTITUTE(SUBSTITUTE(P16,"; ",";"),", ",";"),",",";"))&amp;";"</f>
        <v>;gobierno nacional;</v>
      </c>
      <c r="Z16" s="11" t="str">
        <f aca="false">";"&amp;LOWER(SUBSTITUTE(SUBSTITUTE(SUBSTITUTE(S16,"; ",";"),", ",";"),",",";"))&amp;";"</f>
        <v>;academia;</v>
      </c>
      <c r="AA16" s="11" t="str">
        <f aca="false">";"&amp;LOWER(SUBSTITUTE(SUBSTITUTE(SUBSTITUTE(T16,"; ",";"),", ",";"),",",";"))&amp;";"</f>
        <v>;nacional;</v>
      </c>
      <c r="AB16" s="11" t="str">
        <f aca="false">";"&amp;LOWER(SUBSTITUTE(SUBSTITUTE(SUBSTITUTE(U16,"; ",";"),", ",";"),",",";"))&amp;";"</f>
        <v>;nlp - tópicos;</v>
      </c>
      <c r="AC16" s="12" t="n">
        <f aca="false">IF(ISNUMBER(SEARCH(";participación digital;",W16)),1,0)</f>
        <v>0</v>
      </c>
      <c r="AD16" s="12" t="n">
        <f aca="false">IF(ISNUMBER(SEARCH(";gobernanza colaborativa;",W16)),1,0)</f>
        <v>1</v>
      </c>
      <c r="AE16" s="12" t="n">
        <f aca="false">IF(ISNUMBER(SEARCH(";mini públicos;",W16)),1,0)</f>
        <v>0</v>
      </c>
      <c r="AF16" s="12" t="n">
        <f aca="false">IF(ISNUMBER(SEARCH(";referendos e iniciativas populares;",W16)),1,0)</f>
        <v>0</v>
      </c>
      <c r="AG16" s="12" t="n">
        <f aca="false">IF(ISNUMBER(SEARCH(";presupuestos participativos;",W16)),1,0)</f>
        <v>0</v>
      </c>
      <c r="AH16" s="12" t="n">
        <f aca="false">IF(ISNUMBER(SEARCH(";planificación;",X16)),1,0)</f>
        <v>0</v>
      </c>
      <c r="AI16" s="12" t="n">
        <f aca="false">IF(ISNUMBER(SEARCH(";implementación;",X16)),1,0)</f>
        <v>0</v>
      </c>
      <c r="AJ16" s="12" t="n">
        <f aca="false">IF(ISNUMBER(SEARCH(";análisis;",X16)),1,0)</f>
        <v>1</v>
      </c>
      <c r="AK16" s="12" t="n">
        <f aca="false">IF(ISNUMBER(SEARCH("traducción",X16)),1,0)</f>
        <v>0</v>
      </c>
      <c r="AL16" s="12" t="n">
        <f aca="false">IF(ISNUMBER(SEARCH(";gobierno local;",Y16)),1,0)</f>
        <v>0</v>
      </c>
      <c r="AM16" s="12" t="n">
        <f aca="false">IF(ISNUMBER(SEARCH(";gobierno nacional;",Y16)),1,0)</f>
        <v>1</v>
      </c>
      <c r="AN16" s="12" t="n">
        <f aca="false">IF(ISNUMBER(SEARCH(";otra institución pública;",Y16)),1,0)</f>
        <v>0</v>
      </c>
      <c r="AO16" s="12" t="n">
        <f aca="false">IF(ISNUMBER(SEARCH(";empresa;",Y16)),1,0)</f>
        <v>0</v>
      </c>
      <c r="AP16" s="12" t="n">
        <f aca="false">IF(ISNUMBER(SEARCH(";universidad;",Y16)),1,0)</f>
        <v>0</v>
      </c>
      <c r="AQ16" s="12" t="n">
        <f aca="false">IF(ISNUMBER(SEARCH(";sociedad civil;",Y16)),1,0)</f>
        <v>0</v>
      </c>
      <c r="AR16" s="12" t="n">
        <f aca="false">IF(ISNUMBER(SEARCH(";organización internacional;",Y16)),1,0)</f>
        <v>0</v>
      </c>
      <c r="AS16" s="12" t="n">
        <f aca="false">IF(ISNUMBER(SEARCH(";privado;",Z16)),1,0)</f>
        <v>0</v>
      </c>
      <c r="AT16" s="12" t="n">
        <f aca="false">IF(ISNUMBER(SEARCH(";academia;",Z16)),1,0)</f>
        <v>1</v>
      </c>
      <c r="AU16" s="12" t="n">
        <f aca="false">IF(ISNUMBER(SEARCH(";gobierno;",Z16)),1,0)</f>
        <v>0</v>
      </c>
      <c r="AV16" s="12" t="n">
        <f aca="false">IF(ISNUMBER(SEARCH(";sociedad civil;",Z16)),1,0)</f>
        <v>0</v>
      </c>
      <c r="AW16" s="12" t="n">
        <f aca="false">IF(ISNUMBER(SEARCH(";nacional;",AA16)),1,0)</f>
        <v>1</v>
      </c>
      <c r="AX16" s="12" t="n">
        <f aca="false">IF(ISNUMBER(SEARCH(";internacional;",AA16)),1,0)</f>
        <v>0</v>
      </c>
      <c r="AY16" s="13" t="n">
        <f aca="false">IF(AND(N16=1,('2 · Índice por país'!$B$25-D16)&gt;'2 · Índice por país'!$B$26),0,N16)</f>
        <v>2</v>
      </c>
      <c r="AZ16" s="12" t="str">
        <f aca="false">IF(SUM(AL16:AR16)&lt;2,"",IF(AL16=1,"GL+","")&amp;IF(AM16=1,"GN+","")&amp;IF(AN16=1,"OIP+","")&amp;IF(AO16=1,"EMP+","")&amp;IF(AP16=1,"UNI+","")&amp;IF(AQ16=1,"SC+","")&amp;IF(AR16=1,"OI+",""))</f>
        <v/>
      </c>
      <c r="BA16" s="12" t="n">
        <f aca="false">IF(AZ16="",0,IF(COUNTIFS($A$1:$A15,A16,$AZ$1:$AZ15,AZ16)=0,1,0))</f>
        <v>0</v>
      </c>
    </row>
    <row r="17" customFormat="false" ht="45.75" hidden="false" customHeight="true" outlineLevel="0" collapsed="false">
      <c r="A17" s="5" t="s">
        <v>147</v>
      </c>
      <c r="B17" s="5" t="s">
        <v>193</v>
      </c>
      <c r="C17" s="6" t="s">
        <v>194</v>
      </c>
      <c r="D17" s="7" t="n">
        <v>2021</v>
      </c>
      <c r="E17" s="6" t="s">
        <v>161</v>
      </c>
      <c r="F17" s="6" t="s">
        <v>195</v>
      </c>
      <c r="G17" s="6" t="s">
        <v>196</v>
      </c>
      <c r="H17" s="6"/>
      <c r="I17" s="6"/>
      <c r="J17" s="16" t="s">
        <v>197</v>
      </c>
      <c r="K17" s="9" t="s">
        <v>60</v>
      </c>
      <c r="L17" s="9" t="s">
        <v>78</v>
      </c>
      <c r="M17" s="9" t="s">
        <v>62</v>
      </c>
      <c r="N17" s="10" t="n">
        <v>2</v>
      </c>
      <c r="O17" s="9" t="s">
        <v>63</v>
      </c>
      <c r="P17" s="9" t="s">
        <v>174</v>
      </c>
      <c r="Q17" s="9" t="s">
        <v>167</v>
      </c>
      <c r="R17" s="9" t="s">
        <v>66</v>
      </c>
      <c r="S17" s="9" t="s">
        <v>106</v>
      </c>
      <c r="T17" s="9" t="s">
        <v>68</v>
      </c>
      <c r="U17" s="9" t="s">
        <v>82</v>
      </c>
      <c r="V17" s="9" t="s">
        <v>83</v>
      </c>
      <c r="W17" s="11" t="str">
        <f aca="false">";"&amp;LOWER(SUBSTITUTE(SUBSTITUTE(SUBSTITUTE(L17,"; ",";"),", ",";"),",",";"))&amp;";"</f>
        <v>;gobernanza colaborativa;</v>
      </c>
      <c r="X17" s="11" t="str">
        <f aca="false">";"&amp;LOWER(SUBSTITUTE(SUBSTITUTE(SUBSTITUTE(M17,"; ",";"),", ",";"),",",";"))&amp;";"</f>
        <v>;análisis;</v>
      </c>
      <c r="Y17" s="11" t="str">
        <f aca="false">";"&amp;LOWER(SUBSTITUTE(SUBSTITUTE(SUBSTITUTE(P17,"; ",";"),", ",";"),",",";"))&amp;";"</f>
        <v>;universidad;</v>
      </c>
      <c r="Z17" s="11" t="str">
        <f aca="false">";"&amp;LOWER(SUBSTITUTE(SUBSTITUTE(SUBSTITUTE(S17,"; ",";"),", ",";"),",",";"))&amp;";"</f>
        <v>;academia;</v>
      </c>
      <c r="AA17" s="11" t="str">
        <f aca="false">";"&amp;LOWER(SUBSTITUTE(SUBSTITUTE(SUBSTITUTE(T17,"; ",";"),", ",";"),",",";"))&amp;";"</f>
        <v>;nacional;</v>
      </c>
      <c r="AB17" s="11" t="str">
        <f aca="false">";"&amp;LOWER(SUBSTITUTE(SUBSTITUTE(SUBSTITUTE(U17,"; ",";"),", ",";"),",",";"))&amp;";"</f>
        <v>;nlp - tópicos;</v>
      </c>
      <c r="AC17" s="12" t="n">
        <f aca="false">IF(ISNUMBER(SEARCH(";participación digital;",W17)),1,0)</f>
        <v>0</v>
      </c>
      <c r="AD17" s="12" t="n">
        <f aca="false">IF(ISNUMBER(SEARCH(";gobernanza colaborativa;",W17)),1,0)</f>
        <v>1</v>
      </c>
      <c r="AE17" s="12" t="n">
        <f aca="false">IF(ISNUMBER(SEARCH(";mini públicos;",W17)),1,0)</f>
        <v>0</v>
      </c>
      <c r="AF17" s="12" t="n">
        <f aca="false">IF(ISNUMBER(SEARCH(";referendos e iniciativas populares;",W17)),1,0)</f>
        <v>0</v>
      </c>
      <c r="AG17" s="12" t="n">
        <f aca="false">IF(ISNUMBER(SEARCH(";presupuestos participativos;",W17)),1,0)</f>
        <v>0</v>
      </c>
      <c r="AH17" s="12" t="n">
        <f aca="false">IF(ISNUMBER(SEARCH(";planificación;",X17)),1,0)</f>
        <v>0</v>
      </c>
      <c r="AI17" s="12" t="n">
        <f aca="false">IF(ISNUMBER(SEARCH(";implementación;",X17)),1,0)</f>
        <v>0</v>
      </c>
      <c r="AJ17" s="12" t="n">
        <f aca="false">IF(ISNUMBER(SEARCH(";análisis;",X17)),1,0)</f>
        <v>1</v>
      </c>
      <c r="AK17" s="12" t="n">
        <f aca="false">IF(ISNUMBER(SEARCH("traducción",X17)),1,0)</f>
        <v>0</v>
      </c>
      <c r="AL17" s="12" t="n">
        <f aca="false">IF(ISNUMBER(SEARCH(";gobierno local;",Y17)),1,0)</f>
        <v>0</v>
      </c>
      <c r="AM17" s="12" t="n">
        <f aca="false">IF(ISNUMBER(SEARCH(";gobierno nacional;",Y17)),1,0)</f>
        <v>0</v>
      </c>
      <c r="AN17" s="12" t="n">
        <f aca="false">IF(ISNUMBER(SEARCH(";otra institución pública;",Y17)),1,0)</f>
        <v>0</v>
      </c>
      <c r="AO17" s="12" t="n">
        <f aca="false">IF(ISNUMBER(SEARCH(";empresa;",Y17)),1,0)</f>
        <v>0</v>
      </c>
      <c r="AP17" s="12" t="n">
        <f aca="false">IF(ISNUMBER(SEARCH(";universidad;",Y17)),1,0)</f>
        <v>1</v>
      </c>
      <c r="AQ17" s="12" t="n">
        <f aca="false">IF(ISNUMBER(SEARCH(";sociedad civil;",Y17)),1,0)</f>
        <v>0</v>
      </c>
      <c r="AR17" s="12" t="n">
        <f aca="false">IF(ISNUMBER(SEARCH(";organización internacional;",Y17)),1,0)</f>
        <v>0</v>
      </c>
      <c r="AS17" s="12" t="n">
        <f aca="false">IF(ISNUMBER(SEARCH(";privado;",Z17)),1,0)</f>
        <v>0</v>
      </c>
      <c r="AT17" s="12" t="n">
        <f aca="false">IF(ISNUMBER(SEARCH(";academia;",Z17)),1,0)</f>
        <v>1</v>
      </c>
      <c r="AU17" s="12" t="n">
        <f aca="false">IF(ISNUMBER(SEARCH(";gobierno;",Z17)),1,0)</f>
        <v>0</v>
      </c>
      <c r="AV17" s="12" t="n">
        <f aca="false">IF(ISNUMBER(SEARCH(";sociedad civil;",Z17)),1,0)</f>
        <v>0</v>
      </c>
      <c r="AW17" s="12" t="n">
        <f aca="false">IF(ISNUMBER(SEARCH(";nacional;",AA17)),1,0)</f>
        <v>1</v>
      </c>
      <c r="AX17" s="12" t="n">
        <f aca="false">IF(ISNUMBER(SEARCH(";internacional;",AA17)),1,0)</f>
        <v>0</v>
      </c>
      <c r="AY17" s="13" t="n">
        <f aca="false">IF(AND(N17=1,('2 · Índice por país'!$B$25-D17)&gt;'2 · Índice por país'!$B$26),0,N17)</f>
        <v>2</v>
      </c>
      <c r="AZ17" s="12" t="str">
        <f aca="false">IF(SUM(AL17:AR17)&lt;2,"",IF(AL17=1,"GL+","")&amp;IF(AM17=1,"GN+","")&amp;IF(AN17=1,"OIP+","")&amp;IF(AO17=1,"EMP+","")&amp;IF(AP17=1,"UNI+","")&amp;IF(AQ17=1,"SC+","")&amp;IF(AR17=1,"OI+",""))</f>
        <v/>
      </c>
      <c r="BA17" s="12" t="n">
        <f aca="false">IF(AZ17="",0,IF(COUNTIFS($A$1:$A16,A17,$AZ$1:$AZ16,AZ17)=0,1,0))</f>
        <v>0</v>
      </c>
    </row>
    <row r="18" customFormat="false" ht="45.75" hidden="false" customHeight="true" outlineLevel="0" collapsed="false">
      <c r="A18" s="5" t="s">
        <v>147</v>
      </c>
      <c r="B18" s="5" t="s">
        <v>198</v>
      </c>
      <c r="C18" s="6" t="s">
        <v>199</v>
      </c>
      <c r="D18" s="7" t="n">
        <v>2023</v>
      </c>
      <c r="E18" s="6" t="s">
        <v>161</v>
      </c>
      <c r="F18" s="6" t="s">
        <v>200</v>
      </c>
      <c r="G18" s="6" t="s">
        <v>172</v>
      </c>
      <c r="H18" s="6"/>
      <c r="I18" s="6"/>
      <c r="J18" s="16" t="s">
        <v>201</v>
      </c>
      <c r="K18" s="9" t="s">
        <v>60</v>
      </c>
      <c r="L18" s="9" t="s">
        <v>78</v>
      </c>
      <c r="M18" s="9" t="s">
        <v>62</v>
      </c>
      <c r="N18" s="10" t="n">
        <v>2</v>
      </c>
      <c r="O18" s="9" t="s">
        <v>63</v>
      </c>
      <c r="P18" s="9" t="s">
        <v>174</v>
      </c>
      <c r="Q18" s="9" t="s">
        <v>67</v>
      </c>
      <c r="R18" s="9" t="s">
        <v>66</v>
      </c>
      <c r="S18" s="9" t="s">
        <v>67</v>
      </c>
      <c r="T18" s="9" t="s">
        <v>68</v>
      </c>
      <c r="U18" s="9" t="s">
        <v>82</v>
      </c>
      <c r="V18" s="9" t="s">
        <v>83</v>
      </c>
      <c r="W18" s="11" t="str">
        <f aca="false">";"&amp;LOWER(SUBSTITUTE(SUBSTITUTE(SUBSTITUTE(L18,"; ",";"),", ",";"),",",";"))&amp;";"</f>
        <v>;gobernanza colaborativa;</v>
      </c>
      <c r="X18" s="11" t="str">
        <f aca="false">";"&amp;LOWER(SUBSTITUTE(SUBSTITUTE(SUBSTITUTE(M18,"; ",";"),", ",";"),",",";"))&amp;";"</f>
        <v>;análisis;</v>
      </c>
      <c r="Y18" s="11" t="str">
        <f aca="false">";"&amp;LOWER(SUBSTITUTE(SUBSTITUTE(SUBSTITUTE(P18,"; ",";"),", ",";"),",",";"))&amp;";"</f>
        <v>;universidad;</v>
      </c>
      <c r="Z18" s="11" t="str">
        <f aca="false">";"&amp;LOWER(SUBSTITUTE(SUBSTITUTE(SUBSTITUTE(S18,"; ",";"),", ",";"),",",";"))&amp;";"</f>
        <v>;privado;</v>
      </c>
      <c r="AA18" s="11" t="str">
        <f aca="false">";"&amp;LOWER(SUBSTITUTE(SUBSTITUTE(SUBSTITUTE(T18,"; ",";"),", ",";"),",",";"))&amp;";"</f>
        <v>;nacional;</v>
      </c>
      <c r="AB18" s="11" t="str">
        <f aca="false">";"&amp;LOWER(SUBSTITUTE(SUBSTITUTE(SUBSTITUTE(U18,"; ",";"),", ",";"),",",";"))&amp;";"</f>
        <v>;nlp - tópicos;</v>
      </c>
      <c r="AC18" s="12" t="n">
        <f aca="false">IF(ISNUMBER(SEARCH(";participación digital;",W18)),1,0)</f>
        <v>0</v>
      </c>
      <c r="AD18" s="12" t="n">
        <f aca="false">IF(ISNUMBER(SEARCH(";gobernanza colaborativa;",W18)),1,0)</f>
        <v>1</v>
      </c>
      <c r="AE18" s="12" t="n">
        <f aca="false">IF(ISNUMBER(SEARCH(";mini públicos;",W18)),1,0)</f>
        <v>0</v>
      </c>
      <c r="AF18" s="12" t="n">
        <f aca="false">IF(ISNUMBER(SEARCH(";referendos e iniciativas populares;",W18)),1,0)</f>
        <v>0</v>
      </c>
      <c r="AG18" s="12" t="n">
        <f aca="false">IF(ISNUMBER(SEARCH(";presupuestos participativos;",W18)),1,0)</f>
        <v>0</v>
      </c>
      <c r="AH18" s="12" t="n">
        <f aca="false">IF(ISNUMBER(SEARCH(";planificación;",X18)),1,0)</f>
        <v>0</v>
      </c>
      <c r="AI18" s="12" t="n">
        <f aca="false">IF(ISNUMBER(SEARCH(";implementación;",X18)),1,0)</f>
        <v>0</v>
      </c>
      <c r="AJ18" s="12" t="n">
        <f aca="false">IF(ISNUMBER(SEARCH(";análisis;",X18)),1,0)</f>
        <v>1</v>
      </c>
      <c r="AK18" s="12" t="n">
        <f aca="false">IF(ISNUMBER(SEARCH("traducción",X18)),1,0)</f>
        <v>0</v>
      </c>
      <c r="AL18" s="12" t="n">
        <f aca="false">IF(ISNUMBER(SEARCH(";gobierno local;",Y18)),1,0)</f>
        <v>0</v>
      </c>
      <c r="AM18" s="12" t="n">
        <f aca="false">IF(ISNUMBER(SEARCH(";gobierno nacional;",Y18)),1,0)</f>
        <v>0</v>
      </c>
      <c r="AN18" s="12" t="n">
        <f aca="false">IF(ISNUMBER(SEARCH(";otra institución pública;",Y18)),1,0)</f>
        <v>0</v>
      </c>
      <c r="AO18" s="12" t="n">
        <f aca="false">IF(ISNUMBER(SEARCH(";empresa;",Y18)),1,0)</f>
        <v>0</v>
      </c>
      <c r="AP18" s="12" t="n">
        <f aca="false">IF(ISNUMBER(SEARCH(";universidad;",Y18)),1,0)</f>
        <v>1</v>
      </c>
      <c r="AQ18" s="12" t="n">
        <f aca="false">IF(ISNUMBER(SEARCH(";sociedad civil;",Y18)),1,0)</f>
        <v>0</v>
      </c>
      <c r="AR18" s="12" t="n">
        <f aca="false">IF(ISNUMBER(SEARCH(";organización internacional;",Y18)),1,0)</f>
        <v>0</v>
      </c>
      <c r="AS18" s="12" t="n">
        <f aca="false">IF(ISNUMBER(SEARCH(";privado;",Z18)),1,0)</f>
        <v>1</v>
      </c>
      <c r="AT18" s="12" t="n">
        <f aca="false">IF(ISNUMBER(SEARCH(";academia;",Z18)),1,0)</f>
        <v>0</v>
      </c>
      <c r="AU18" s="12" t="n">
        <f aca="false">IF(ISNUMBER(SEARCH(";gobierno;",Z18)),1,0)</f>
        <v>0</v>
      </c>
      <c r="AV18" s="12" t="n">
        <f aca="false">IF(ISNUMBER(SEARCH(";sociedad civil;",Z18)),1,0)</f>
        <v>0</v>
      </c>
      <c r="AW18" s="12" t="n">
        <f aca="false">IF(ISNUMBER(SEARCH(";nacional;",AA18)),1,0)</f>
        <v>1</v>
      </c>
      <c r="AX18" s="12" t="n">
        <f aca="false">IF(ISNUMBER(SEARCH(";internacional;",AA18)),1,0)</f>
        <v>0</v>
      </c>
      <c r="AY18" s="13" t="n">
        <f aca="false">IF(AND(N18=1,('2 · Índice por país'!$B$25-D18)&gt;'2 · Índice por país'!$B$26),0,N18)</f>
        <v>2</v>
      </c>
      <c r="AZ18" s="12" t="str">
        <f aca="false">IF(SUM(AL18:AR18)&lt;2,"",IF(AL18=1,"GL+","")&amp;IF(AM18=1,"GN+","")&amp;IF(AN18=1,"OIP+","")&amp;IF(AO18=1,"EMP+","")&amp;IF(AP18=1,"UNI+","")&amp;IF(AQ18=1,"SC+","")&amp;IF(AR18=1,"OI+",""))</f>
        <v/>
      </c>
      <c r="BA18" s="12" t="n">
        <f aca="false">IF(AZ18="",0,IF(COUNTIFS($A$1:$A17,A18,$AZ$1:$AZ17,AZ18)=0,1,0))</f>
        <v>0</v>
      </c>
    </row>
    <row r="19" customFormat="false" ht="45.75" hidden="false" customHeight="true" outlineLevel="0" collapsed="false">
      <c r="A19" s="5" t="s">
        <v>202</v>
      </c>
      <c r="B19" s="5" t="s">
        <v>203</v>
      </c>
      <c r="C19" s="6" t="s">
        <v>204</v>
      </c>
      <c r="D19" s="7" t="n">
        <v>2024</v>
      </c>
      <c r="E19" s="6" t="s">
        <v>74</v>
      </c>
      <c r="F19" s="6" t="s">
        <v>205</v>
      </c>
      <c r="G19" s="6" t="s">
        <v>206</v>
      </c>
      <c r="H19" s="6"/>
      <c r="I19" s="6"/>
      <c r="J19" s="16" t="s">
        <v>207</v>
      </c>
      <c r="K19" s="9" t="s">
        <v>60</v>
      </c>
      <c r="L19" s="9" t="s">
        <v>115</v>
      </c>
      <c r="M19" s="9" t="s">
        <v>103</v>
      </c>
      <c r="N19" s="10" t="n">
        <v>2</v>
      </c>
      <c r="O19" s="9" t="s">
        <v>116</v>
      </c>
      <c r="P19" s="9" t="s">
        <v>117</v>
      </c>
      <c r="Q19" s="9" t="s">
        <v>65</v>
      </c>
      <c r="R19" s="9" t="s">
        <v>66</v>
      </c>
      <c r="S19" s="9" t="s">
        <v>208</v>
      </c>
      <c r="T19" s="9" t="s">
        <v>68</v>
      </c>
      <c r="U19" s="9" t="s">
        <v>209</v>
      </c>
      <c r="V19" s="9" t="s">
        <v>60</v>
      </c>
      <c r="W19" s="11" t="str">
        <f aca="false">";"&amp;LOWER(SUBSTITUTE(SUBSTITUTE(SUBSTITUTE(L19,"; ",";"),", ",";"),",",";"))&amp;";"</f>
        <v>;presupuestos participativos;participación digital;</v>
      </c>
      <c r="X19" s="11" t="str">
        <f aca="false">";"&amp;LOWER(SUBSTITUTE(SUBSTITUTE(SUBSTITUTE(M19,"; ",";"),", ",";"),",",";"))&amp;";"</f>
        <v>;implementación;</v>
      </c>
      <c r="Y19" s="11" t="str">
        <f aca="false">";"&amp;LOWER(SUBSTITUTE(SUBSTITUTE(SUBSTITUTE(P19,"; ",";"),", ",";"),",",";"))&amp;";"</f>
        <v>;gobierno local;</v>
      </c>
      <c r="Z19" s="11" t="str">
        <f aca="false">";"&amp;LOWER(SUBSTITUTE(SUBSTITUTE(SUBSTITUTE(S19,"; ",";"),", ",";"),",",";"))&amp;";"</f>
        <v>;privado;gobierno;</v>
      </c>
      <c r="AA19" s="11" t="str">
        <f aca="false">";"&amp;LOWER(SUBSTITUTE(SUBSTITUTE(SUBSTITUTE(T19,"; ",";"),", ",";"),",",";"))&amp;";"</f>
        <v>;nacional;</v>
      </c>
      <c r="AB19" s="11" t="str">
        <f aca="false">";"&amp;LOWER(SUBSTITUTE(SUBSTITUTE(SUBSTITUTE(U19,"; ",";"),", ",";"),",",";"))&amp;";"</f>
        <v>;nlp;llm;</v>
      </c>
      <c r="AC19" s="12" t="n">
        <f aca="false">IF(ISNUMBER(SEARCH(";participación digital;",W19)),1,0)</f>
        <v>1</v>
      </c>
      <c r="AD19" s="12" t="n">
        <f aca="false">IF(ISNUMBER(SEARCH(";gobernanza colaborativa;",W19)),1,0)</f>
        <v>0</v>
      </c>
      <c r="AE19" s="12" t="n">
        <f aca="false">IF(ISNUMBER(SEARCH(";mini públicos;",W19)),1,0)</f>
        <v>0</v>
      </c>
      <c r="AF19" s="12" t="n">
        <f aca="false">IF(ISNUMBER(SEARCH(";referendos e iniciativas populares;",W19)),1,0)</f>
        <v>0</v>
      </c>
      <c r="AG19" s="12" t="n">
        <f aca="false">IF(ISNUMBER(SEARCH(";presupuestos participativos;",W19)),1,0)</f>
        <v>1</v>
      </c>
      <c r="AH19" s="12" t="n">
        <f aca="false">IF(ISNUMBER(SEARCH(";planificación;",X19)),1,0)</f>
        <v>0</v>
      </c>
      <c r="AI19" s="12" t="n">
        <f aca="false">IF(ISNUMBER(SEARCH(";implementación;",X19)),1,0)</f>
        <v>1</v>
      </c>
      <c r="AJ19" s="12" t="n">
        <f aca="false">IF(ISNUMBER(SEARCH(";análisis;",X19)),1,0)</f>
        <v>0</v>
      </c>
      <c r="AK19" s="12" t="n">
        <f aca="false">IF(ISNUMBER(SEARCH("traducción",X19)),1,0)</f>
        <v>0</v>
      </c>
      <c r="AL19" s="12" t="n">
        <f aca="false">IF(ISNUMBER(SEARCH(";gobierno local;",Y19)),1,0)</f>
        <v>1</v>
      </c>
      <c r="AM19" s="12" t="n">
        <f aca="false">IF(ISNUMBER(SEARCH(";gobierno nacional;",Y19)),1,0)</f>
        <v>0</v>
      </c>
      <c r="AN19" s="12" t="n">
        <f aca="false">IF(ISNUMBER(SEARCH(";otra institución pública;",Y19)),1,0)</f>
        <v>0</v>
      </c>
      <c r="AO19" s="12" t="n">
        <f aca="false">IF(ISNUMBER(SEARCH(";empresa;",Y19)),1,0)</f>
        <v>0</v>
      </c>
      <c r="AP19" s="12" t="n">
        <f aca="false">IF(ISNUMBER(SEARCH(";universidad;",Y19)),1,0)</f>
        <v>0</v>
      </c>
      <c r="AQ19" s="12" t="n">
        <f aca="false">IF(ISNUMBER(SEARCH(";sociedad civil;",Y19)),1,0)</f>
        <v>0</v>
      </c>
      <c r="AR19" s="12" t="n">
        <f aca="false">IF(ISNUMBER(SEARCH(";organización internacional;",Y19)),1,0)</f>
        <v>0</v>
      </c>
      <c r="AS19" s="12" t="n">
        <f aca="false">IF(ISNUMBER(SEARCH(";privado;",Z19)),1,0)</f>
        <v>1</v>
      </c>
      <c r="AT19" s="12" t="n">
        <f aca="false">IF(ISNUMBER(SEARCH(";academia;",Z19)),1,0)</f>
        <v>0</v>
      </c>
      <c r="AU19" s="12" t="n">
        <f aca="false">IF(ISNUMBER(SEARCH(";gobierno;",Z19)),1,0)</f>
        <v>1</v>
      </c>
      <c r="AV19" s="12" t="n">
        <f aca="false">IF(ISNUMBER(SEARCH(";sociedad civil;",Z19)),1,0)</f>
        <v>0</v>
      </c>
      <c r="AW19" s="12" t="n">
        <f aca="false">IF(ISNUMBER(SEARCH(";nacional;",AA19)),1,0)</f>
        <v>1</v>
      </c>
      <c r="AX19" s="12" t="n">
        <f aca="false">IF(ISNUMBER(SEARCH(";internacional;",AA19)),1,0)</f>
        <v>0</v>
      </c>
      <c r="AY19" s="13" t="n">
        <f aca="false">IF(AND(N19=1,('2 · Índice por país'!$B$25-D19)&gt;'2 · Índice por país'!$B$26),0,N19)</f>
        <v>2</v>
      </c>
      <c r="AZ19" s="12" t="str">
        <f aca="false">IF(SUM(AL19:AR19)&lt;2,"",IF(AL19=1,"GL+","")&amp;IF(AM19=1,"GN+","")&amp;IF(AN19=1,"OIP+","")&amp;IF(AO19=1,"EMP+","")&amp;IF(AP19=1,"UNI+","")&amp;IF(AQ19=1,"SC+","")&amp;IF(AR19=1,"OI+",""))</f>
        <v/>
      </c>
      <c r="BA19" s="12" t="n">
        <f aca="false">IF(AZ19="",0,IF(COUNTIFS($A$1:$A18,A19,$AZ$1:$AZ18,AZ19)=0,1,0))</f>
        <v>0</v>
      </c>
    </row>
    <row r="20" customFormat="false" ht="45.75" hidden="false" customHeight="true" outlineLevel="0" collapsed="false">
      <c r="A20" s="5" t="s">
        <v>202</v>
      </c>
      <c r="B20" s="5" t="s">
        <v>210</v>
      </c>
      <c r="C20" s="6" t="s">
        <v>211</v>
      </c>
      <c r="D20" s="7" t="n">
        <v>2019</v>
      </c>
      <c r="E20" s="6" t="s">
        <v>74</v>
      </c>
      <c r="F20" s="6" t="s">
        <v>212</v>
      </c>
      <c r="G20" s="6" t="s">
        <v>213</v>
      </c>
      <c r="H20" s="6" t="s">
        <v>214</v>
      </c>
      <c r="I20" s="6"/>
      <c r="J20" s="8" t="s">
        <v>215</v>
      </c>
      <c r="K20" s="9" t="s">
        <v>60</v>
      </c>
      <c r="L20" s="9" t="s">
        <v>78</v>
      </c>
      <c r="M20" s="9" t="s">
        <v>79</v>
      </c>
      <c r="N20" s="10" t="n">
        <v>2</v>
      </c>
      <c r="O20" s="9" t="s">
        <v>63</v>
      </c>
      <c r="P20" s="9" t="s">
        <v>216</v>
      </c>
      <c r="Q20" s="9" t="s">
        <v>167</v>
      </c>
      <c r="R20" s="9" t="s">
        <v>66</v>
      </c>
      <c r="S20" s="9" t="s">
        <v>135</v>
      </c>
      <c r="T20" s="9" t="s">
        <v>81</v>
      </c>
      <c r="U20" s="9" t="s">
        <v>217</v>
      </c>
      <c r="V20" s="9" t="s">
        <v>60</v>
      </c>
      <c r="W20" s="11" t="str">
        <f aca="false">";"&amp;LOWER(SUBSTITUTE(SUBSTITUTE(SUBSTITUTE(L20,"; ",";"),", ",";"),",",";"))&amp;";"</f>
        <v>;gobernanza colaborativa;</v>
      </c>
      <c r="X20" s="11" t="str">
        <f aca="false">";"&amp;LOWER(SUBSTITUTE(SUBSTITUTE(SUBSTITUTE(M20,"; ",";"),", ",";"),",",";"))&amp;";"</f>
        <v>;implementación;análisis;</v>
      </c>
      <c r="Y20" s="11" t="str">
        <f aca="false">";"&amp;LOWER(SUBSTITUTE(SUBSTITUTE(SUBSTITUTE(P20,"; ",";"),", ",";"),",",";"))&amp;";"</f>
        <v>;organización internacional;gobierno local;</v>
      </c>
      <c r="Z20" s="11" t="str">
        <f aca="false">";"&amp;LOWER(SUBSTITUTE(SUBSTITUTE(SUBSTITUTE(S20,"; ",";"),", ",";"),",",";"))&amp;";"</f>
        <v>;gobierno;</v>
      </c>
      <c r="AA20" s="11" t="str">
        <f aca="false">";"&amp;LOWER(SUBSTITUTE(SUBSTITUTE(SUBSTITUTE(T20,"; ",";"),", ",";"),",",";"))&amp;";"</f>
        <v>;internacional;</v>
      </c>
      <c r="AB20" s="11" t="str">
        <f aca="false">";"&amp;LOWER(SUBSTITUTE(SUBSTITUTE(SUBSTITUTE(U20,"; ",";"),", ",";"),",",";"))&amp;";"</f>
        <v>;voz a texto;nlp;llm;</v>
      </c>
      <c r="AC20" s="12" t="n">
        <f aca="false">IF(ISNUMBER(SEARCH(";participación digital;",W20)),1,0)</f>
        <v>0</v>
      </c>
      <c r="AD20" s="12" t="n">
        <f aca="false">IF(ISNUMBER(SEARCH(";gobernanza colaborativa;",W20)),1,0)</f>
        <v>1</v>
      </c>
      <c r="AE20" s="12" t="n">
        <f aca="false">IF(ISNUMBER(SEARCH(";mini públicos;",W20)),1,0)</f>
        <v>0</v>
      </c>
      <c r="AF20" s="12" t="n">
        <f aca="false">IF(ISNUMBER(SEARCH(";referendos e iniciativas populares;",W20)),1,0)</f>
        <v>0</v>
      </c>
      <c r="AG20" s="12" t="n">
        <f aca="false">IF(ISNUMBER(SEARCH(";presupuestos participativos;",W20)),1,0)</f>
        <v>0</v>
      </c>
      <c r="AH20" s="12" t="n">
        <f aca="false">IF(ISNUMBER(SEARCH(";planificación;",X20)),1,0)</f>
        <v>0</v>
      </c>
      <c r="AI20" s="12" t="n">
        <f aca="false">IF(ISNUMBER(SEARCH(";implementación;",X20)),1,0)</f>
        <v>1</v>
      </c>
      <c r="AJ20" s="12" t="n">
        <f aca="false">IF(ISNUMBER(SEARCH(";análisis;",X20)),1,0)</f>
        <v>1</v>
      </c>
      <c r="AK20" s="12" t="n">
        <f aca="false">IF(ISNUMBER(SEARCH("traducción",X20)),1,0)</f>
        <v>0</v>
      </c>
      <c r="AL20" s="12" t="n">
        <f aca="false">IF(ISNUMBER(SEARCH(";gobierno local;",Y20)),1,0)</f>
        <v>1</v>
      </c>
      <c r="AM20" s="12" t="n">
        <f aca="false">IF(ISNUMBER(SEARCH(";gobierno nacional;",Y20)),1,0)</f>
        <v>0</v>
      </c>
      <c r="AN20" s="12" t="n">
        <f aca="false">IF(ISNUMBER(SEARCH(";otra institución pública;",Y20)),1,0)</f>
        <v>0</v>
      </c>
      <c r="AO20" s="12" t="n">
        <f aca="false">IF(ISNUMBER(SEARCH(";empresa;",Y20)),1,0)</f>
        <v>0</v>
      </c>
      <c r="AP20" s="12" t="n">
        <f aca="false">IF(ISNUMBER(SEARCH(";universidad;",Y20)),1,0)</f>
        <v>0</v>
      </c>
      <c r="AQ20" s="12" t="n">
        <f aca="false">IF(ISNUMBER(SEARCH(";sociedad civil;",Y20)),1,0)</f>
        <v>0</v>
      </c>
      <c r="AR20" s="12" t="n">
        <f aca="false">IF(ISNUMBER(SEARCH(";organización internacional;",Y20)),1,0)</f>
        <v>1</v>
      </c>
      <c r="AS20" s="12" t="n">
        <f aca="false">IF(ISNUMBER(SEARCH(";privado;",Z20)),1,0)</f>
        <v>0</v>
      </c>
      <c r="AT20" s="12" t="n">
        <f aca="false">IF(ISNUMBER(SEARCH(";academia;",Z20)),1,0)</f>
        <v>0</v>
      </c>
      <c r="AU20" s="12" t="n">
        <f aca="false">IF(ISNUMBER(SEARCH(";gobierno;",Z20)),1,0)</f>
        <v>1</v>
      </c>
      <c r="AV20" s="12" t="n">
        <f aca="false">IF(ISNUMBER(SEARCH(";sociedad civil;",Z20)),1,0)</f>
        <v>0</v>
      </c>
      <c r="AW20" s="12" t="n">
        <f aca="false">IF(ISNUMBER(SEARCH(";nacional;",AA20)),1,0)</f>
        <v>0</v>
      </c>
      <c r="AX20" s="12" t="n">
        <f aca="false">IF(ISNUMBER(SEARCH(";internacional;",AA20)),1,0)</f>
        <v>1</v>
      </c>
      <c r="AY20" s="13" t="n">
        <f aca="false">IF(AND(N20=1,('2 · Índice por país'!$B$25-D20)&gt;'2 · Índice por país'!$B$26),0,N20)</f>
        <v>2</v>
      </c>
      <c r="AZ20" s="12" t="str">
        <f aca="false">IF(SUM(AL20:AR20)&lt;2,"",IF(AL20=1,"GL+","")&amp;IF(AM20=1,"GN+","")&amp;IF(AN20=1,"OIP+","")&amp;IF(AO20=1,"EMP+","")&amp;IF(AP20=1,"UNI+","")&amp;IF(AQ20=1,"SC+","")&amp;IF(AR20=1,"OI+",""))</f>
        <v>GL+OI+</v>
      </c>
      <c r="BA20" s="12" t="n">
        <f aca="false">IF(AZ20="",0,IF(COUNTIFS($A$1:$A19,A20,$AZ$1:$AZ19,AZ20)=0,1,0))</f>
        <v>1</v>
      </c>
    </row>
    <row r="21" customFormat="false" ht="45.75" hidden="false" customHeight="true" outlineLevel="0" collapsed="false">
      <c r="A21" s="5" t="s">
        <v>202</v>
      </c>
      <c r="B21" s="5" t="s">
        <v>218</v>
      </c>
      <c r="C21" s="6" t="s">
        <v>219</v>
      </c>
      <c r="D21" s="7" t="n">
        <v>2022</v>
      </c>
      <c r="E21" s="6" t="s">
        <v>161</v>
      </c>
      <c r="F21" s="6" t="s">
        <v>220</v>
      </c>
      <c r="G21" s="6" t="s">
        <v>221</v>
      </c>
      <c r="H21" s="6" t="s">
        <v>222</v>
      </c>
      <c r="I21" s="6"/>
      <c r="J21" s="8" t="s">
        <v>223</v>
      </c>
      <c r="K21" s="9" t="s">
        <v>60</v>
      </c>
      <c r="L21" s="9" t="s">
        <v>78</v>
      </c>
      <c r="M21" s="9" t="s">
        <v>62</v>
      </c>
      <c r="N21" s="10" t="n">
        <v>2</v>
      </c>
      <c r="O21" s="9" t="s">
        <v>63</v>
      </c>
      <c r="P21" s="9" t="s">
        <v>224</v>
      </c>
      <c r="Q21" s="9" t="s">
        <v>167</v>
      </c>
      <c r="R21" s="9" t="s">
        <v>66</v>
      </c>
      <c r="S21" s="9" t="s">
        <v>106</v>
      </c>
      <c r="T21" s="9" t="s">
        <v>68</v>
      </c>
      <c r="U21" s="9" t="s">
        <v>225</v>
      </c>
      <c r="V21" s="9" t="s">
        <v>83</v>
      </c>
      <c r="W21" s="11" t="str">
        <f aca="false">";"&amp;LOWER(SUBSTITUTE(SUBSTITUTE(SUBSTITUTE(L21,"; ",";"),", ",";"),",",";"))&amp;";"</f>
        <v>;gobernanza colaborativa;</v>
      </c>
      <c r="X21" s="11" t="str">
        <f aca="false">";"&amp;LOWER(SUBSTITUTE(SUBSTITUTE(SUBSTITUTE(M21,"; ",";"),", ",";"),",",";"))&amp;";"</f>
        <v>;análisis;</v>
      </c>
      <c r="Y21" s="11" t="str">
        <f aca="false">";"&amp;LOWER(SUBSTITUTE(SUBSTITUTE(SUBSTITUTE(P21,"; ",";"),", ",";"),",",";"))&amp;";"</f>
        <v>;universidad;empresa;sociedad civil;</v>
      </c>
      <c r="Z21" s="11" t="str">
        <f aca="false">";"&amp;LOWER(SUBSTITUTE(SUBSTITUTE(SUBSTITUTE(S21,"; ",";"),", ",";"),",",";"))&amp;";"</f>
        <v>;academia;</v>
      </c>
      <c r="AA21" s="11" t="str">
        <f aca="false">";"&amp;LOWER(SUBSTITUTE(SUBSTITUTE(SUBSTITUTE(T21,"; ",";"),", ",";"),",",";"))&amp;";"</f>
        <v>;nacional;</v>
      </c>
      <c r="AB21" s="11" t="str">
        <f aca="false">";"&amp;LOWER(SUBSTITUTE(SUBSTITUTE(SUBSTITUTE(U21,"; ",";"),", ",";"),",",";"))&amp;";"</f>
        <v>;nlp - tópicos;nlp - sentiment;</v>
      </c>
      <c r="AC21" s="12" t="n">
        <f aca="false">IF(ISNUMBER(SEARCH(";participación digital;",W21)),1,0)</f>
        <v>0</v>
      </c>
      <c r="AD21" s="12" t="n">
        <f aca="false">IF(ISNUMBER(SEARCH(";gobernanza colaborativa;",W21)),1,0)</f>
        <v>1</v>
      </c>
      <c r="AE21" s="12" t="n">
        <f aca="false">IF(ISNUMBER(SEARCH(";mini públicos;",W21)),1,0)</f>
        <v>0</v>
      </c>
      <c r="AF21" s="12" t="n">
        <f aca="false">IF(ISNUMBER(SEARCH(";referendos e iniciativas populares;",W21)),1,0)</f>
        <v>0</v>
      </c>
      <c r="AG21" s="12" t="n">
        <f aca="false">IF(ISNUMBER(SEARCH(";presupuestos participativos;",W21)),1,0)</f>
        <v>0</v>
      </c>
      <c r="AH21" s="12" t="n">
        <f aca="false">IF(ISNUMBER(SEARCH(";planificación;",X21)),1,0)</f>
        <v>0</v>
      </c>
      <c r="AI21" s="12" t="n">
        <f aca="false">IF(ISNUMBER(SEARCH(";implementación;",X21)),1,0)</f>
        <v>0</v>
      </c>
      <c r="AJ21" s="12" t="n">
        <f aca="false">IF(ISNUMBER(SEARCH(";análisis;",X21)),1,0)</f>
        <v>1</v>
      </c>
      <c r="AK21" s="12" t="n">
        <f aca="false">IF(ISNUMBER(SEARCH("traducción",X21)),1,0)</f>
        <v>0</v>
      </c>
      <c r="AL21" s="12" t="n">
        <f aca="false">IF(ISNUMBER(SEARCH(";gobierno local;",Y21)),1,0)</f>
        <v>0</v>
      </c>
      <c r="AM21" s="12" t="n">
        <f aca="false">IF(ISNUMBER(SEARCH(";gobierno nacional;",Y21)),1,0)</f>
        <v>0</v>
      </c>
      <c r="AN21" s="12" t="n">
        <f aca="false">IF(ISNUMBER(SEARCH(";otra institución pública;",Y21)),1,0)</f>
        <v>0</v>
      </c>
      <c r="AO21" s="12" t="n">
        <f aca="false">IF(ISNUMBER(SEARCH(";empresa;",Y21)),1,0)</f>
        <v>1</v>
      </c>
      <c r="AP21" s="12" t="n">
        <f aca="false">IF(ISNUMBER(SEARCH(";universidad;",Y21)),1,0)</f>
        <v>1</v>
      </c>
      <c r="AQ21" s="12" t="n">
        <f aca="false">IF(ISNUMBER(SEARCH(";sociedad civil;",Y21)),1,0)</f>
        <v>1</v>
      </c>
      <c r="AR21" s="12" t="n">
        <f aca="false">IF(ISNUMBER(SEARCH(";organización internacional;",Y21)),1,0)</f>
        <v>0</v>
      </c>
      <c r="AS21" s="12" t="n">
        <f aca="false">IF(ISNUMBER(SEARCH(";privado;",Z21)),1,0)</f>
        <v>0</v>
      </c>
      <c r="AT21" s="12" t="n">
        <f aca="false">IF(ISNUMBER(SEARCH(";academia;",Z21)),1,0)</f>
        <v>1</v>
      </c>
      <c r="AU21" s="12" t="n">
        <f aca="false">IF(ISNUMBER(SEARCH(";gobierno;",Z21)),1,0)</f>
        <v>0</v>
      </c>
      <c r="AV21" s="12" t="n">
        <f aca="false">IF(ISNUMBER(SEARCH(";sociedad civil;",Z21)),1,0)</f>
        <v>0</v>
      </c>
      <c r="AW21" s="12" t="n">
        <f aca="false">IF(ISNUMBER(SEARCH(";nacional;",AA21)),1,0)</f>
        <v>1</v>
      </c>
      <c r="AX21" s="12" t="n">
        <f aca="false">IF(ISNUMBER(SEARCH(";internacional;",AA21)),1,0)</f>
        <v>0</v>
      </c>
      <c r="AY21" s="13" t="n">
        <f aca="false">IF(AND(N21=1,('2 · Índice por país'!$B$25-D21)&gt;'2 · Índice por país'!$B$26),0,N21)</f>
        <v>2</v>
      </c>
      <c r="AZ21" s="12" t="str">
        <f aca="false">IF(SUM(AL21:AR21)&lt;2,"",IF(AL21=1,"GL+","")&amp;IF(AM21=1,"GN+","")&amp;IF(AN21=1,"OIP+","")&amp;IF(AO21=1,"EMP+","")&amp;IF(AP21=1,"UNI+","")&amp;IF(AQ21=1,"SC+","")&amp;IF(AR21=1,"OI+",""))</f>
        <v>EMP+UNI+SC+</v>
      </c>
      <c r="BA21" s="12" t="n">
        <f aca="false">IF(AZ21="",0,IF(COUNTIFS($A$1:$A20,A21,$AZ$1:$AZ20,AZ21)=0,1,0))</f>
        <v>1</v>
      </c>
    </row>
    <row r="22" customFormat="false" ht="45.75" hidden="false" customHeight="true" outlineLevel="0" collapsed="false">
      <c r="A22" s="5" t="s">
        <v>226</v>
      </c>
      <c r="B22" s="5" t="s">
        <v>227</v>
      </c>
      <c r="C22" s="6" t="s">
        <v>228</v>
      </c>
      <c r="D22" s="7" t="n">
        <v>2022</v>
      </c>
      <c r="E22" s="6" t="s">
        <v>56</v>
      </c>
      <c r="F22" s="6" t="s">
        <v>229</v>
      </c>
      <c r="G22" s="6" t="s">
        <v>230</v>
      </c>
      <c r="H22" s="6" t="s">
        <v>231</v>
      </c>
      <c r="I22" s="6"/>
      <c r="J22" s="8" t="s">
        <v>232</v>
      </c>
      <c r="K22" s="9" t="s">
        <v>60</v>
      </c>
      <c r="L22" s="9" t="s">
        <v>233</v>
      </c>
      <c r="M22" s="9" t="s">
        <v>62</v>
      </c>
      <c r="N22" s="10" t="n">
        <v>2</v>
      </c>
      <c r="O22" s="9" t="s">
        <v>63</v>
      </c>
      <c r="P22" s="9" t="s">
        <v>64</v>
      </c>
      <c r="Q22" s="9" t="s">
        <v>65</v>
      </c>
      <c r="R22" s="9" t="s">
        <v>66</v>
      </c>
      <c r="S22" s="9" t="s">
        <v>234</v>
      </c>
      <c r="T22" s="9" t="s">
        <v>68</v>
      </c>
      <c r="U22" s="9" t="s">
        <v>235</v>
      </c>
      <c r="V22" s="9" t="s">
        <v>83</v>
      </c>
      <c r="W22" s="11" t="str">
        <f aca="false">";"&amp;LOWER(SUBSTITUTE(SUBSTITUTE(SUBSTITUTE(L22,"; ",";"),", ",";"),",",";"))&amp;";"</f>
        <v>;participación digital;referendos e iniciativas populares;</v>
      </c>
      <c r="X22" s="11" t="str">
        <f aca="false">";"&amp;LOWER(SUBSTITUTE(SUBSTITUTE(SUBSTITUTE(M22,"; ",";"),", ",";"),",",";"))&amp;";"</f>
        <v>;análisis;</v>
      </c>
      <c r="Y22" s="11" t="str">
        <f aca="false">";"&amp;LOWER(SUBSTITUTE(SUBSTITUTE(SUBSTITUTE(P22,"; ",";"),", ",";"),",",";"))&amp;";"</f>
        <v>;gobierno nacional;</v>
      </c>
      <c r="Z22" s="11" t="str">
        <f aca="false">";"&amp;LOWER(SUBSTITUTE(SUBSTITUTE(SUBSTITUTE(S22,"; ",";"),", ",";"),",",";"))&amp;";"</f>
        <v>;privado;academia;</v>
      </c>
      <c r="AA22" s="11" t="str">
        <f aca="false">";"&amp;LOWER(SUBSTITUTE(SUBSTITUTE(SUBSTITUTE(T22,"; ",";"),", ",";"),",",";"))&amp;";"</f>
        <v>;nacional;</v>
      </c>
      <c r="AB22" s="11" t="str">
        <f aca="false">";"&amp;LOWER(SUBSTITUTE(SUBSTITUTE(SUBSTITUTE(U22,"; ",";"),", ",";"),",",";"))&amp;";"</f>
        <v>;nlp;minería de texto;recuperación de información;clasificación automática de documentos;</v>
      </c>
      <c r="AC22" s="12" t="n">
        <f aca="false">IF(ISNUMBER(SEARCH(";participación digital;",W22)),1,0)</f>
        <v>1</v>
      </c>
      <c r="AD22" s="12" t="n">
        <f aca="false">IF(ISNUMBER(SEARCH(";gobernanza colaborativa;",W22)),1,0)</f>
        <v>0</v>
      </c>
      <c r="AE22" s="12" t="n">
        <f aca="false">IF(ISNUMBER(SEARCH(";mini públicos;",W22)),1,0)</f>
        <v>0</v>
      </c>
      <c r="AF22" s="12" t="n">
        <f aca="false">IF(ISNUMBER(SEARCH(";referendos e iniciativas populares;",W22)),1,0)</f>
        <v>1</v>
      </c>
      <c r="AG22" s="12" t="n">
        <f aca="false">IF(ISNUMBER(SEARCH(";presupuestos participativos;",W22)),1,0)</f>
        <v>0</v>
      </c>
      <c r="AH22" s="12" t="n">
        <f aca="false">IF(ISNUMBER(SEARCH(";planificación;",X22)),1,0)</f>
        <v>0</v>
      </c>
      <c r="AI22" s="12" t="n">
        <f aca="false">IF(ISNUMBER(SEARCH(";implementación;",X22)),1,0)</f>
        <v>0</v>
      </c>
      <c r="AJ22" s="12" t="n">
        <f aca="false">IF(ISNUMBER(SEARCH(";análisis;",X22)),1,0)</f>
        <v>1</v>
      </c>
      <c r="AK22" s="12" t="n">
        <f aca="false">IF(ISNUMBER(SEARCH("traducción",X22)),1,0)</f>
        <v>0</v>
      </c>
      <c r="AL22" s="12" t="n">
        <f aca="false">IF(ISNUMBER(SEARCH(";gobierno local;",Y22)),1,0)</f>
        <v>0</v>
      </c>
      <c r="AM22" s="12" t="n">
        <f aca="false">IF(ISNUMBER(SEARCH(";gobierno nacional;",Y22)),1,0)</f>
        <v>1</v>
      </c>
      <c r="AN22" s="12" t="n">
        <f aca="false">IF(ISNUMBER(SEARCH(";otra institución pública;",Y22)),1,0)</f>
        <v>0</v>
      </c>
      <c r="AO22" s="12" t="n">
        <f aca="false">IF(ISNUMBER(SEARCH(";empresa;",Y22)),1,0)</f>
        <v>0</v>
      </c>
      <c r="AP22" s="12" t="n">
        <f aca="false">IF(ISNUMBER(SEARCH(";universidad;",Y22)),1,0)</f>
        <v>0</v>
      </c>
      <c r="AQ22" s="12" t="n">
        <f aca="false">IF(ISNUMBER(SEARCH(";sociedad civil;",Y22)),1,0)</f>
        <v>0</v>
      </c>
      <c r="AR22" s="12" t="n">
        <f aca="false">IF(ISNUMBER(SEARCH(";organización internacional;",Y22)),1,0)</f>
        <v>0</v>
      </c>
      <c r="AS22" s="12" t="n">
        <f aca="false">IF(ISNUMBER(SEARCH(";privado;",Z22)),1,0)</f>
        <v>1</v>
      </c>
      <c r="AT22" s="12" t="n">
        <f aca="false">IF(ISNUMBER(SEARCH(";academia;",Z22)),1,0)</f>
        <v>1</v>
      </c>
      <c r="AU22" s="12" t="n">
        <f aca="false">IF(ISNUMBER(SEARCH(";gobierno;",Z22)),1,0)</f>
        <v>0</v>
      </c>
      <c r="AV22" s="12" t="n">
        <f aca="false">IF(ISNUMBER(SEARCH(";sociedad civil;",Z22)),1,0)</f>
        <v>0</v>
      </c>
      <c r="AW22" s="12" t="n">
        <f aca="false">IF(ISNUMBER(SEARCH(";nacional;",AA22)),1,0)</f>
        <v>1</v>
      </c>
      <c r="AX22" s="12" t="n">
        <f aca="false">IF(ISNUMBER(SEARCH(";internacional;",AA22)),1,0)</f>
        <v>0</v>
      </c>
      <c r="AY22" s="13" t="n">
        <f aca="false">IF(AND(N22=1,('2 · Índice por país'!$B$25-D22)&gt;'2 · Índice por país'!$B$26),0,N22)</f>
        <v>2</v>
      </c>
      <c r="AZ22" s="12" t="str">
        <f aca="false">IF(SUM(AL22:AR22)&lt;2,"",IF(AL22=1,"GL+","")&amp;IF(AM22=1,"GN+","")&amp;IF(AN22=1,"OIP+","")&amp;IF(AO22=1,"EMP+","")&amp;IF(AP22=1,"UNI+","")&amp;IF(AQ22=1,"SC+","")&amp;IF(AR22=1,"OI+",""))</f>
        <v/>
      </c>
      <c r="BA22" s="12" t="n">
        <f aca="false">IF(AZ22="",0,IF(COUNTIFS($A$1:$A21,A22,$AZ$1:$AZ21,AZ22)=0,1,0))</f>
        <v>0</v>
      </c>
    </row>
    <row r="23" customFormat="false" ht="45.75" hidden="false" customHeight="true" outlineLevel="0" collapsed="false">
      <c r="A23" s="5" t="s">
        <v>236</v>
      </c>
      <c r="B23" s="5" t="s">
        <v>237</v>
      </c>
      <c r="C23" s="6" t="s">
        <v>238</v>
      </c>
      <c r="D23" s="7" t="n">
        <v>2023</v>
      </c>
      <c r="E23" s="6" t="s">
        <v>74</v>
      </c>
      <c r="F23" s="6" t="s">
        <v>239</v>
      </c>
      <c r="G23" s="6" t="s">
        <v>240</v>
      </c>
      <c r="H23" s="6"/>
      <c r="I23" s="6"/>
      <c r="J23" s="16" t="s">
        <v>241</v>
      </c>
      <c r="K23" s="9" t="s">
        <v>60</v>
      </c>
      <c r="L23" s="9" t="s">
        <v>242</v>
      </c>
      <c r="M23" s="9" t="s">
        <v>103</v>
      </c>
      <c r="N23" s="10" t="n">
        <v>2</v>
      </c>
      <c r="O23" s="9" t="s">
        <v>116</v>
      </c>
      <c r="P23" s="9" t="s">
        <v>243</v>
      </c>
      <c r="Q23" s="9" t="s">
        <v>167</v>
      </c>
      <c r="R23" s="9" t="s">
        <v>66</v>
      </c>
      <c r="S23" s="9" t="s">
        <v>244</v>
      </c>
      <c r="T23" s="9" t="s">
        <v>68</v>
      </c>
      <c r="U23" s="9" t="s">
        <v>245</v>
      </c>
      <c r="V23" s="9" t="s">
        <v>60</v>
      </c>
      <c r="W23" s="11" t="str">
        <f aca="false">";"&amp;LOWER(SUBSTITUTE(SUBSTITUTE(SUBSTITUTE(L23,"; ",";"),", ",";"),",",";"))&amp;";"</f>
        <v>;referendos e iniciativas populares;</v>
      </c>
      <c r="X23" s="11" t="str">
        <f aca="false">";"&amp;LOWER(SUBSTITUTE(SUBSTITUTE(SUBSTITUTE(M23,"; ",";"),", ",";"),",",";"))&amp;";"</f>
        <v>;implementación;</v>
      </c>
      <c r="Y23" s="11" t="str">
        <f aca="false">";"&amp;LOWER(SUBSTITUTE(SUBSTITUTE(SUBSTITUTE(P23,"; ",";"),", ",";"),",",";"))&amp;";"</f>
        <v>;gobierno nacional;sociedad civil;</v>
      </c>
      <c r="Z23" s="11" t="str">
        <f aca="false">";"&amp;LOWER(SUBSTITUTE(SUBSTITUTE(SUBSTITUTE(S23,"; ",";"),", ",";"),",",";"))&amp;";"</f>
        <v>;sociedad civil;</v>
      </c>
      <c r="AA23" s="11" t="str">
        <f aca="false">";"&amp;LOWER(SUBSTITUTE(SUBSTITUTE(SUBSTITUTE(T23,"; ",";"),", ",";"),",",";"))&amp;";"</f>
        <v>;nacional;</v>
      </c>
      <c r="AB23" s="11" t="str">
        <f aca="false">";"&amp;LOWER(SUBSTITUTE(SUBSTITUTE(SUBSTITUTE(U23,"; ",";"),", ",";"),",",";"))&amp;";"</f>
        <v>;llm;</v>
      </c>
      <c r="AC23" s="12" t="n">
        <f aca="false">IF(ISNUMBER(SEARCH(";participación digital;",W23)),1,0)</f>
        <v>0</v>
      </c>
      <c r="AD23" s="12" t="n">
        <f aca="false">IF(ISNUMBER(SEARCH(";gobernanza colaborativa;",W23)),1,0)</f>
        <v>0</v>
      </c>
      <c r="AE23" s="12" t="n">
        <f aca="false">IF(ISNUMBER(SEARCH(";mini públicos;",W23)),1,0)</f>
        <v>0</v>
      </c>
      <c r="AF23" s="12" t="n">
        <f aca="false">IF(ISNUMBER(SEARCH(";referendos e iniciativas populares;",W23)),1,0)</f>
        <v>1</v>
      </c>
      <c r="AG23" s="12" t="n">
        <f aca="false">IF(ISNUMBER(SEARCH(";presupuestos participativos;",W23)),1,0)</f>
        <v>0</v>
      </c>
      <c r="AH23" s="12" t="n">
        <f aca="false">IF(ISNUMBER(SEARCH(";planificación;",X23)),1,0)</f>
        <v>0</v>
      </c>
      <c r="AI23" s="12" t="n">
        <f aca="false">IF(ISNUMBER(SEARCH(";implementación;",X23)),1,0)</f>
        <v>1</v>
      </c>
      <c r="AJ23" s="12" t="n">
        <f aca="false">IF(ISNUMBER(SEARCH(";análisis;",X23)),1,0)</f>
        <v>0</v>
      </c>
      <c r="AK23" s="12" t="n">
        <f aca="false">IF(ISNUMBER(SEARCH("traducción",X23)),1,0)</f>
        <v>0</v>
      </c>
      <c r="AL23" s="12" t="n">
        <f aca="false">IF(ISNUMBER(SEARCH(";gobierno local;",Y23)),1,0)</f>
        <v>0</v>
      </c>
      <c r="AM23" s="12" t="n">
        <f aca="false">IF(ISNUMBER(SEARCH(";gobierno nacional;",Y23)),1,0)</f>
        <v>1</v>
      </c>
      <c r="AN23" s="12" t="n">
        <f aca="false">IF(ISNUMBER(SEARCH(";otra institución pública;",Y23)),1,0)</f>
        <v>0</v>
      </c>
      <c r="AO23" s="12" t="n">
        <f aca="false">IF(ISNUMBER(SEARCH(";empresa;",Y23)),1,0)</f>
        <v>0</v>
      </c>
      <c r="AP23" s="12" t="n">
        <f aca="false">IF(ISNUMBER(SEARCH(";universidad;",Y23)),1,0)</f>
        <v>0</v>
      </c>
      <c r="AQ23" s="12" t="n">
        <f aca="false">IF(ISNUMBER(SEARCH(";sociedad civil;",Y23)),1,0)</f>
        <v>1</v>
      </c>
      <c r="AR23" s="12" t="n">
        <f aca="false">IF(ISNUMBER(SEARCH(";organización internacional;",Y23)),1,0)</f>
        <v>0</v>
      </c>
      <c r="AS23" s="12" t="n">
        <f aca="false">IF(ISNUMBER(SEARCH(";privado;",Z23)),1,0)</f>
        <v>0</v>
      </c>
      <c r="AT23" s="12" t="n">
        <f aca="false">IF(ISNUMBER(SEARCH(";academia;",Z23)),1,0)</f>
        <v>0</v>
      </c>
      <c r="AU23" s="12" t="n">
        <f aca="false">IF(ISNUMBER(SEARCH(";gobierno;",Z23)),1,0)</f>
        <v>0</v>
      </c>
      <c r="AV23" s="12" t="n">
        <f aca="false">IF(ISNUMBER(SEARCH(";sociedad civil;",Z23)),1,0)</f>
        <v>1</v>
      </c>
      <c r="AW23" s="12" t="n">
        <f aca="false">IF(ISNUMBER(SEARCH(";nacional;",AA23)),1,0)</f>
        <v>1</v>
      </c>
      <c r="AX23" s="12" t="n">
        <f aca="false">IF(ISNUMBER(SEARCH(";internacional;",AA23)),1,0)</f>
        <v>0</v>
      </c>
      <c r="AY23" s="13" t="n">
        <f aca="false">IF(AND(N23=1,('2 · Índice por país'!$B$25-D23)&gt;'2 · Índice por país'!$B$26),0,N23)</f>
        <v>2</v>
      </c>
      <c r="AZ23" s="12" t="str">
        <f aca="false">IF(SUM(AL23:AR23)&lt;2,"",IF(AL23=1,"GL+","")&amp;IF(AM23=1,"GN+","")&amp;IF(AN23=1,"OIP+","")&amp;IF(AO23=1,"EMP+","")&amp;IF(AP23=1,"UNI+","")&amp;IF(AQ23=1,"SC+","")&amp;IF(AR23=1,"OI+",""))</f>
        <v>GN+SC+</v>
      </c>
      <c r="BA23" s="12" t="n">
        <f aca="false">IF(AZ23="",0,IF(COUNTIFS($A$1:$A22,A23,$AZ$1:$AZ22,AZ23)=0,1,0))</f>
        <v>1</v>
      </c>
    </row>
    <row r="24" customFormat="false" ht="45.75" hidden="false" customHeight="true" outlineLevel="0" collapsed="false">
      <c r="A24" s="5" t="s">
        <v>246</v>
      </c>
      <c r="B24" s="5" t="s">
        <v>247</v>
      </c>
      <c r="C24" s="6" t="s">
        <v>248</v>
      </c>
      <c r="D24" s="7" t="n">
        <v>2024</v>
      </c>
      <c r="E24" s="6" t="s">
        <v>74</v>
      </c>
      <c r="F24" s="6" t="s">
        <v>249</v>
      </c>
      <c r="G24" s="6" t="s">
        <v>250</v>
      </c>
      <c r="H24" s="6" t="s">
        <v>251</v>
      </c>
      <c r="I24" s="6"/>
      <c r="J24" s="8" t="s">
        <v>252</v>
      </c>
      <c r="K24" s="9" t="s">
        <v>60</v>
      </c>
      <c r="L24" s="9" t="s">
        <v>78</v>
      </c>
      <c r="M24" s="9" t="s">
        <v>79</v>
      </c>
      <c r="N24" s="10" t="n">
        <v>2</v>
      </c>
      <c r="O24" s="9" t="s">
        <v>63</v>
      </c>
      <c r="P24" s="9" t="s">
        <v>253</v>
      </c>
      <c r="Q24" s="9" t="s">
        <v>167</v>
      </c>
      <c r="R24" s="9" t="s">
        <v>66</v>
      </c>
      <c r="S24" s="9" t="s">
        <v>67</v>
      </c>
      <c r="T24" s="9" t="s">
        <v>81</v>
      </c>
      <c r="U24" s="9" t="s">
        <v>254</v>
      </c>
      <c r="V24" s="9" t="s">
        <v>83</v>
      </c>
      <c r="W24" s="11" t="str">
        <f aca="false">";"&amp;LOWER(SUBSTITUTE(SUBSTITUTE(SUBSTITUTE(L24,"; ",";"),", ",";"),",",";"))&amp;";"</f>
        <v>;gobernanza colaborativa;</v>
      </c>
      <c r="X24" s="11" t="str">
        <f aca="false">";"&amp;LOWER(SUBSTITUTE(SUBSTITUTE(SUBSTITUTE(M24,"; ",";"),", ",";"),",",";"))&amp;";"</f>
        <v>;implementación;análisis;</v>
      </c>
      <c r="Y24" s="11" t="str">
        <f aca="false">";"&amp;LOWER(SUBSTITUTE(SUBSTITUTE(SUBSTITUTE(P24,"; ",";"),", ",";"),",",";"))&amp;";"</f>
        <v>;organización internacional;sociedad civil;</v>
      </c>
      <c r="Z24" s="11" t="str">
        <f aca="false">";"&amp;LOWER(SUBSTITUTE(SUBSTITUTE(SUBSTITUTE(S24,"; ",";"),", ",";"),",",";"))&amp;";"</f>
        <v>;privado;</v>
      </c>
      <c r="AA24" s="11" t="str">
        <f aca="false">";"&amp;LOWER(SUBSTITUTE(SUBSTITUTE(SUBSTITUTE(T24,"; ",";"),", ",";"),",",";"))&amp;";"</f>
        <v>;internacional;</v>
      </c>
      <c r="AB24" s="11" t="str">
        <f aca="false">";"&amp;LOWER(SUBSTITUTE(SUBSTITUTE(SUBSTITUTE(U24,"; ",";"),", ",";"),",",";"))&amp;";"</f>
        <v>;nlp - sentiment;nlp - tópicos;</v>
      </c>
      <c r="AC24" s="12" t="n">
        <f aca="false">IF(ISNUMBER(SEARCH(";participación digital;",W24)),1,0)</f>
        <v>0</v>
      </c>
      <c r="AD24" s="12" t="n">
        <f aca="false">IF(ISNUMBER(SEARCH(";gobernanza colaborativa;",W24)),1,0)</f>
        <v>1</v>
      </c>
      <c r="AE24" s="12" t="n">
        <f aca="false">IF(ISNUMBER(SEARCH(";mini públicos;",W24)),1,0)</f>
        <v>0</v>
      </c>
      <c r="AF24" s="12" t="n">
        <f aca="false">IF(ISNUMBER(SEARCH(";referendos e iniciativas populares;",W24)),1,0)</f>
        <v>0</v>
      </c>
      <c r="AG24" s="12" t="n">
        <f aca="false">IF(ISNUMBER(SEARCH(";presupuestos participativos;",W24)),1,0)</f>
        <v>0</v>
      </c>
      <c r="AH24" s="12" t="n">
        <f aca="false">IF(ISNUMBER(SEARCH(";planificación;",X24)),1,0)</f>
        <v>0</v>
      </c>
      <c r="AI24" s="12" t="n">
        <f aca="false">IF(ISNUMBER(SEARCH(";implementación;",X24)),1,0)</f>
        <v>1</v>
      </c>
      <c r="AJ24" s="12" t="n">
        <f aca="false">IF(ISNUMBER(SEARCH(";análisis;",X24)),1,0)</f>
        <v>1</v>
      </c>
      <c r="AK24" s="12" t="n">
        <f aca="false">IF(ISNUMBER(SEARCH("traducción",X24)),1,0)</f>
        <v>0</v>
      </c>
      <c r="AL24" s="12" t="n">
        <f aca="false">IF(ISNUMBER(SEARCH(";gobierno local;",Y24)),1,0)</f>
        <v>0</v>
      </c>
      <c r="AM24" s="12" t="n">
        <f aca="false">IF(ISNUMBER(SEARCH(";gobierno nacional;",Y24)),1,0)</f>
        <v>0</v>
      </c>
      <c r="AN24" s="12" t="n">
        <f aca="false">IF(ISNUMBER(SEARCH(";otra institución pública;",Y24)),1,0)</f>
        <v>0</v>
      </c>
      <c r="AO24" s="12" t="n">
        <f aca="false">IF(ISNUMBER(SEARCH(";empresa;",Y24)),1,0)</f>
        <v>0</v>
      </c>
      <c r="AP24" s="12" t="n">
        <f aca="false">IF(ISNUMBER(SEARCH(";universidad;",Y24)),1,0)</f>
        <v>0</v>
      </c>
      <c r="AQ24" s="12" t="n">
        <f aca="false">IF(ISNUMBER(SEARCH(";sociedad civil;",Y24)),1,0)</f>
        <v>1</v>
      </c>
      <c r="AR24" s="12" t="n">
        <f aca="false">IF(ISNUMBER(SEARCH(";organización internacional;",Y24)),1,0)</f>
        <v>1</v>
      </c>
      <c r="AS24" s="12" t="n">
        <f aca="false">IF(ISNUMBER(SEARCH(";privado;",Z24)),1,0)</f>
        <v>1</v>
      </c>
      <c r="AT24" s="12" t="n">
        <f aca="false">IF(ISNUMBER(SEARCH(";academia;",Z24)),1,0)</f>
        <v>0</v>
      </c>
      <c r="AU24" s="12" t="n">
        <f aca="false">IF(ISNUMBER(SEARCH(";gobierno;",Z24)),1,0)</f>
        <v>0</v>
      </c>
      <c r="AV24" s="12" t="n">
        <f aca="false">IF(ISNUMBER(SEARCH(";sociedad civil;",Z24)),1,0)</f>
        <v>0</v>
      </c>
      <c r="AW24" s="12" t="n">
        <f aca="false">IF(ISNUMBER(SEARCH(";nacional;",AA24)),1,0)</f>
        <v>0</v>
      </c>
      <c r="AX24" s="12" t="n">
        <f aca="false">IF(ISNUMBER(SEARCH(";internacional;",AA24)),1,0)</f>
        <v>1</v>
      </c>
      <c r="AY24" s="13" t="n">
        <f aca="false">IF(AND(N24=1,('2 · Índice por país'!$B$25-D24)&gt;'2 · Índice por país'!$B$26),0,N24)</f>
        <v>2</v>
      </c>
      <c r="AZ24" s="12" t="str">
        <f aca="false">IF(SUM(AL24:AR24)&lt;2,"",IF(AL24=1,"GL+","")&amp;IF(AM24=1,"GN+","")&amp;IF(AN24=1,"OIP+","")&amp;IF(AO24=1,"EMP+","")&amp;IF(AP24=1,"UNI+","")&amp;IF(AQ24=1,"SC+","")&amp;IF(AR24=1,"OI+",""))</f>
        <v>SC+OI+</v>
      </c>
      <c r="BA24" s="12" t="n">
        <f aca="false">IF(AZ24="",0,IF(COUNTIFS($A$1:$A23,A24,$AZ$1:$AZ23,AZ24)=0,1,0))</f>
        <v>1</v>
      </c>
    </row>
    <row r="25" customFormat="false" ht="45.75" hidden="false" customHeight="true" outlineLevel="0" collapsed="false">
      <c r="A25" s="5" t="s">
        <v>255</v>
      </c>
      <c r="B25" s="5" t="s">
        <v>256</v>
      </c>
      <c r="C25" s="6" t="s">
        <v>257</v>
      </c>
      <c r="D25" s="7" t="n">
        <v>2024</v>
      </c>
      <c r="E25" s="6" t="s">
        <v>86</v>
      </c>
      <c r="F25" s="6" t="s">
        <v>258</v>
      </c>
      <c r="G25" s="6" t="s">
        <v>259</v>
      </c>
      <c r="H25" s="6" t="s">
        <v>260</v>
      </c>
      <c r="I25" s="6"/>
      <c r="J25" s="16" t="s">
        <v>261</v>
      </c>
      <c r="K25" s="9" t="s">
        <v>60</v>
      </c>
      <c r="L25" s="9" t="s">
        <v>78</v>
      </c>
      <c r="M25" s="9" t="s">
        <v>62</v>
      </c>
      <c r="N25" s="10" t="n">
        <v>2</v>
      </c>
      <c r="O25" s="9" t="s">
        <v>63</v>
      </c>
      <c r="P25" s="9" t="s">
        <v>117</v>
      </c>
      <c r="Q25" s="9" t="s">
        <v>65</v>
      </c>
      <c r="R25" s="9" t="s">
        <v>66</v>
      </c>
      <c r="S25" s="9" t="s">
        <v>135</v>
      </c>
      <c r="T25" s="9" t="s">
        <v>68</v>
      </c>
      <c r="U25" s="9" t="s">
        <v>262</v>
      </c>
      <c r="V25" s="9" t="s">
        <v>70</v>
      </c>
      <c r="W25" s="11" t="str">
        <f aca="false">";"&amp;LOWER(SUBSTITUTE(SUBSTITUTE(SUBSTITUTE(L25,"; ",";"),", ",";"),",",";"))&amp;";"</f>
        <v>;gobernanza colaborativa;</v>
      </c>
      <c r="X25" s="11" t="str">
        <f aca="false">";"&amp;LOWER(SUBSTITUTE(SUBSTITUTE(SUBSTITUTE(M25,"; ",";"),", ",";"),",",";"))&amp;";"</f>
        <v>;análisis;</v>
      </c>
      <c r="Y25" s="11" t="str">
        <f aca="false">";"&amp;LOWER(SUBSTITUTE(SUBSTITUTE(SUBSTITUTE(P25,"; ",";"),", ",";"),",",";"))&amp;";"</f>
        <v>;gobierno local;</v>
      </c>
      <c r="Z25" s="11" t="str">
        <f aca="false">";"&amp;LOWER(SUBSTITUTE(SUBSTITUTE(SUBSTITUTE(S25,"; ",";"),", ",";"),",",";"))&amp;";"</f>
        <v>;gobierno;</v>
      </c>
      <c r="AA25" s="11" t="str">
        <f aca="false">";"&amp;LOWER(SUBSTITUTE(SUBSTITUTE(SUBSTITUTE(T25,"; ",";"),", ",";"),",",";"))&amp;";"</f>
        <v>;nacional;</v>
      </c>
      <c r="AB25" s="11" t="str">
        <f aca="false">";"&amp;LOWER(SUBSTITUTE(SUBSTITUTE(SUBSTITUTE(U25,"; ",";"),", ",";"),",",";"))&amp;";"</f>
        <v>;nlp;otros(no especificado);</v>
      </c>
      <c r="AC25" s="12" t="n">
        <f aca="false">IF(ISNUMBER(SEARCH(";participación digital;",W25)),1,0)</f>
        <v>0</v>
      </c>
      <c r="AD25" s="12" t="n">
        <f aca="false">IF(ISNUMBER(SEARCH(";gobernanza colaborativa;",W25)),1,0)</f>
        <v>1</v>
      </c>
      <c r="AE25" s="12" t="n">
        <f aca="false">IF(ISNUMBER(SEARCH(";mini públicos;",W25)),1,0)</f>
        <v>0</v>
      </c>
      <c r="AF25" s="12" t="n">
        <f aca="false">IF(ISNUMBER(SEARCH(";referendos e iniciativas populares;",W25)),1,0)</f>
        <v>0</v>
      </c>
      <c r="AG25" s="12" t="n">
        <f aca="false">IF(ISNUMBER(SEARCH(";presupuestos participativos;",W25)),1,0)</f>
        <v>0</v>
      </c>
      <c r="AH25" s="12" t="n">
        <f aca="false">IF(ISNUMBER(SEARCH(";planificación;",X25)),1,0)</f>
        <v>0</v>
      </c>
      <c r="AI25" s="12" t="n">
        <f aca="false">IF(ISNUMBER(SEARCH(";implementación;",X25)),1,0)</f>
        <v>0</v>
      </c>
      <c r="AJ25" s="12" t="n">
        <f aca="false">IF(ISNUMBER(SEARCH(";análisis;",X25)),1,0)</f>
        <v>1</v>
      </c>
      <c r="AK25" s="12" t="n">
        <f aca="false">IF(ISNUMBER(SEARCH("traducción",X25)),1,0)</f>
        <v>0</v>
      </c>
      <c r="AL25" s="12" t="n">
        <f aca="false">IF(ISNUMBER(SEARCH(";gobierno local;",Y25)),1,0)</f>
        <v>1</v>
      </c>
      <c r="AM25" s="12" t="n">
        <f aca="false">IF(ISNUMBER(SEARCH(";gobierno nacional;",Y25)),1,0)</f>
        <v>0</v>
      </c>
      <c r="AN25" s="12" t="n">
        <f aca="false">IF(ISNUMBER(SEARCH(";otra institución pública;",Y25)),1,0)</f>
        <v>0</v>
      </c>
      <c r="AO25" s="12" t="n">
        <f aca="false">IF(ISNUMBER(SEARCH(";empresa;",Y25)),1,0)</f>
        <v>0</v>
      </c>
      <c r="AP25" s="12" t="n">
        <f aca="false">IF(ISNUMBER(SEARCH(";universidad;",Y25)),1,0)</f>
        <v>0</v>
      </c>
      <c r="AQ25" s="12" t="n">
        <f aca="false">IF(ISNUMBER(SEARCH(";sociedad civil;",Y25)),1,0)</f>
        <v>0</v>
      </c>
      <c r="AR25" s="12" t="n">
        <f aca="false">IF(ISNUMBER(SEARCH(";organización internacional;",Y25)),1,0)</f>
        <v>0</v>
      </c>
      <c r="AS25" s="12" t="n">
        <f aca="false">IF(ISNUMBER(SEARCH(";privado;",Z25)),1,0)</f>
        <v>0</v>
      </c>
      <c r="AT25" s="12" t="n">
        <f aca="false">IF(ISNUMBER(SEARCH(";academia;",Z25)),1,0)</f>
        <v>0</v>
      </c>
      <c r="AU25" s="12" t="n">
        <f aca="false">IF(ISNUMBER(SEARCH(";gobierno;",Z25)),1,0)</f>
        <v>1</v>
      </c>
      <c r="AV25" s="12" t="n">
        <f aca="false">IF(ISNUMBER(SEARCH(";sociedad civil;",Z25)),1,0)</f>
        <v>0</v>
      </c>
      <c r="AW25" s="12" t="n">
        <f aca="false">IF(ISNUMBER(SEARCH(";nacional;",AA25)),1,0)</f>
        <v>1</v>
      </c>
      <c r="AX25" s="12" t="n">
        <f aca="false">IF(ISNUMBER(SEARCH(";internacional;",AA25)),1,0)</f>
        <v>0</v>
      </c>
      <c r="AY25" s="13" t="n">
        <f aca="false">IF(AND(N25=1,('2 · Índice por país'!$B$25-D25)&gt;'2 · Índice por país'!$B$26),0,N25)</f>
        <v>2</v>
      </c>
      <c r="AZ25" s="12" t="str">
        <f aca="false">IF(SUM(AL25:AR25)&lt;2,"",IF(AL25=1,"GL+","")&amp;IF(AM25=1,"GN+","")&amp;IF(AN25=1,"OIP+","")&amp;IF(AO25=1,"EMP+","")&amp;IF(AP25=1,"UNI+","")&amp;IF(AQ25=1,"SC+","")&amp;IF(AR25=1,"OI+",""))</f>
        <v/>
      </c>
      <c r="BA25" s="12" t="n">
        <f aca="false">IF(AZ25="",0,IF(COUNTIFS($A$1:$A24,A25,$AZ$1:$AZ24,AZ25)=0,1,0))</f>
        <v>0</v>
      </c>
    </row>
    <row r="26" customFormat="false" ht="45.75" hidden="false" customHeight="true" outlineLevel="0" collapsed="false">
      <c r="A26" s="5" t="s">
        <v>263</v>
      </c>
      <c r="B26" s="5" t="s">
        <v>264</v>
      </c>
      <c r="C26" s="6" t="s">
        <v>265</v>
      </c>
      <c r="D26" s="7" t="n">
        <v>2024</v>
      </c>
      <c r="E26" s="6" t="s">
        <v>56</v>
      </c>
      <c r="F26" s="6" t="s">
        <v>266</v>
      </c>
      <c r="G26" s="6" t="s">
        <v>267</v>
      </c>
      <c r="H26" s="6" t="s">
        <v>268</v>
      </c>
      <c r="I26" s="6"/>
      <c r="J26" s="8" t="s">
        <v>269</v>
      </c>
      <c r="K26" s="9" t="s">
        <v>60</v>
      </c>
      <c r="L26" s="9" t="s">
        <v>270</v>
      </c>
      <c r="M26" s="9" t="s">
        <v>271</v>
      </c>
      <c r="N26" s="10" t="n">
        <v>2</v>
      </c>
      <c r="O26" s="9" t="s">
        <v>116</v>
      </c>
      <c r="P26" s="9" t="s">
        <v>272</v>
      </c>
      <c r="Q26" s="9" t="s">
        <v>67</v>
      </c>
      <c r="R26" s="9" t="s">
        <v>66</v>
      </c>
      <c r="S26" s="9" t="s">
        <v>244</v>
      </c>
      <c r="T26" s="9" t="s">
        <v>68</v>
      </c>
      <c r="U26" s="9" t="s">
        <v>273</v>
      </c>
      <c r="V26" s="9" t="s">
        <v>70</v>
      </c>
      <c r="W26" s="11" t="str">
        <f aca="false">";"&amp;LOWER(SUBSTITUTE(SUBSTITUTE(SUBSTITUTE(L26,"; ",";"),", ",";"),",",";"))&amp;";"</f>
        <v>;participación digital;</v>
      </c>
      <c r="X26" s="11" t="str">
        <f aca="false">";"&amp;LOWER(SUBSTITUTE(SUBSTITUTE(SUBSTITUTE(M26,"; ",";"),", ",";"),",",";"))&amp;";"</f>
        <v>;traducción;</v>
      </c>
      <c r="Y26" s="11" t="str">
        <f aca="false">";"&amp;LOWER(SUBSTITUTE(SUBSTITUTE(SUBSTITUTE(P26,"; ",";"),", ",";"),",",";"))&amp;";"</f>
        <v>;sociedad civil;gobierno nacional;</v>
      </c>
      <c r="Z26" s="11" t="str">
        <f aca="false">";"&amp;LOWER(SUBSTITUTE(SUBSTITUTE(SUBSTITUTE(S26,"; ",";"),", ",";"),",",";"))&amp;";"</f>
        <v>;sociedad civil;</v>
      </c>
      <c r="AA26" s="11" t="str">
        <f aca="false">";"&amp;LOWER(SUBSTITUTE(SUBSTITUTE(SUBSTITUTE(T26,"; ",";"),", ",";"),",",";"))&amp;";"</f>
        <v>;nacional;</v>
      </c>
      <c r="AB26" s="11" t="str">
        <f aca="false">";"&amp;LOWER(SUBSTITUTE(SUBSTITUTE(SUBSTITUTE(U26,"; ",";"),", ",";"),",",";"))&amp;";"</f>
        <v>;null;</v>
      </c>
      <c r="AC26" s="12" t="n">
        <f aca="false">IF(ISNUMBER(SEARCH(";participación digital;",W26)),1,0)</f>
        <v>1</v>
      </c>
      <c r="AD26" s="12" t="n">
        <f aca="false">IF(ISNUMBER(SEARCH(";gobernanza colaborativa;",W26)),1,0)</f>
        <v>0</v>
      </c>
      <c r="AE26" s="12" t="n">
        <f aca="false">IF(ISNUMBER(SEARCH(";mini públicos;",W26)),1,0)</f>
        <v>0</v>
      </c>
      <c r="AF26" s="12" t="n">
        <f aca="false">IF(ISNUMBER(SEARCH(";referendos e iniciativas populares;",W26)),1,0)</f>
        <v>0</v>
      </c>
      <c r="AG26" s="12" t="n">
        <f aca="false">IF(ISNUMBER(SEARCH(";presupuestos participativos;",W26)),1,0)</f>
        <v>0</v>
      </c>
      <c r="AH26" s="12" t="n">
        <f aca="false">IF(ISNUMBER(SEARCH(";planificación;",X26)),1,0)</f>
        <v>0</v>
      </c>
      <c r="AI26" s="12" t="n">
        <f aca="false">IF(ISNUMBER(SEARCH(";implementación;",X26)),1,0)</f>
        <v>0</v>
      </c>
      <c r="AJ26" s="12" t="n">
        <f aca="false">IF(ISNUMBER(SEARCH(";análisis;",X26)),1,0)</f>
        <v>0</v>
      </c>
      <c r="AK26" s="12" t="n">
        <f aca="false">IF(ISNUMBER(SEARCH("traducción",X26)),1,0)</f>
        <v>1</v>
      </c>
      <c r="AL26" s="12" t="n">
        <f aca="false">IF(ISNUMBER(SEARCH(";gobierno local;",Y26)),1,0)</f>
        <v>0</v>
      </c>
      <c r="AM26" s="12" t="n">
        <f aca="false">IF(ISNUMBER(SEARCH(";gobierno nacional;",Y26)),1,0)</f>
        <v>1</v>
      </c>
      <c r="AN26" s="12" t="n">
        <f aca="false">IF(ISNUMBER(SEARCH(";otra institución pública;",Y26)),1,0)</f>
        <v>0</v>
      </c>
      <c r="AO26" s="12" t="n">
        <f aca="false">IF(ISNUMBER(SEARCH(";empresa;",Y26)),1,0)</f>
        <v>0</v>
      </c>
      <c r="AP26" s="12" t="n">
        <f aca="false">IF(ISNUMBER(SEARCH(";universidad;",Y26)),1,0)</f>
        <v>0</v>
      </c>
      <c r="AQ26" s="12" t="n">
        <f aca="false">IF(ISNUMBER(SEARCH(";sociedad civil;",Y26)),1,0)</f>
        <v>1</v>
      </c>
      <c r="AR26" s="12" t="n">
        <f aca="false">IF(ISNUMBER(SEARCH(";organización internacional;",Y26)),1,0)</f>
        <v>0</v>
      </c>
      <c r="AS26" s="12" t="n">
        <f aca="false">IF(ISNUMBER(SEARCH(";privado;",Z26)),1,0)</f>
        <v>0</v>
      </c>
      <c r="AT26" s="12" t="n">
        <f aca="false">IF(ISNUMBER(SEARCH(";academia;",Z26)),1,0)</f>
        <v>0</v>
      </c>
      <c r="AU26" s="12" t="n">
        <f aca="false">IF(ISNUMBER(SEARCH(";gobierno;",Z26)),1,0)</f>
        <v>0</v>
      </c>
      <c r="AV26" s="12" t="n">
        <f aca="false">IF(ISNUMBER(SEARCH(";sociedad civil;",Z26)),1,0)</f>
        <v>1</v>
      </c>
      <c r="AW26" s="12" t="n">
        <f aca="false">IF(ISNUMBER(SEARCH(";nacional;",AA26)),1,0)</f>
        <v>1</v>
      </c>
      <c r="AX26" s="12" t="n">
        <f aca="false">IF(ISNUMBER(SEARCH(";internacional;",AA26)),1,0)</f>
        <v>0</v>
      </c>
      <c r="AY26" s="13" t="n">
        <f aca="false">IF(AND(N26=1,('2 · Índice por país'!$B$25-D26)&gt;'2 · Índice por país'!$B$26),0,N26)</f>
        <v>2</v>
      </c>
      <c r="AZ26" s="12" t="str">
        <f aca="false">IF(SUM(AL26:AR26)&lt;2,"",IF(AL26=1,"GL+","")&amp;IF(AM26=1,"GN+","")&amp;IF(AN26=1,"OIP+","")&amp;IF(AO26=1,"EMP+","")&amp;IF(AP26=1,"UNI+","")&amp;IF(AQ26=1,"SC+","")&amp;IF(AR26=1,"OI+",""))</f>
        <v>GN+SC+</v>
      </c>
      <c r="BA26" s="12" t="n">
        <f aca="false">IF(AZ26="",0,IF(COUNTIFS($A$1:$A25,A26,$AZ$1:$AZ25,AZ26)=0,1,0))</f>
        <v>1</v>
      </c>
    </row>
    <row r="27" customFormat="false" ht="45.75" hidden="false" customHeight="true" outlineLevel="0" collapsed="false">
      <c r="A27" s="5" t="s">
        <v>274</v>
      </c>
      <c r="B27" s="5" t="s">
        <v>275</v>
      </c>
      <c r="C27" s="6" t="s">
        <v>276</v>
      </c>
      <c r="D27" s="7" t="n">
        <v>2019</v>
      </c>
      <c r="E27" s="6" t="s">
        <v>74</v>
      </c>
      <c r="F27" s="6" t="s">
        <v>277</v>
      </c>
      <c r="G27" s="6" t="s">
        <v>278</v>
      </c>
      <c r="H27" s="6"/>
      <c r="I27" s="6"/>
      <c r="J27" s="16" t="s">
        <v>279</v>
      </c>
      <c r="K27" s="9" t="s">
        <v>60</v>
      </c>
      <c r="L27" s="9" t="s">
        <v>78</v>
      </c>
      <c r="M27" s="9" t="s">
        <v>62</v>
      </c>
      <c r="N27" s="10" t="n">
        <v>2</v>
      </c>
      <c r="O27" s="9" t="s">
        <v>63</v>
      </c>
      <c r="P27" s="9" t="s">
        <v>280</v>
      </c>
      <c r="Q27" s="9" t="s">
        <v>65</v>
      </c>
      <c r="R27" s="9" t="s">
        <v>66</v>
      </c>
      <c r="S27" s="9" t="s">
        <v>67</v>
      </c>
      <c r="T27" s="9" t="s">
        <v>81</v>
      </c>
      <c r="U27" s="9" t="s">
        <v>225</v>
      </c>
      <c r="V27" s="9" t="s">
        <v>83</v>
      </c>
      <c r="W27" s="11" t="str">
        <f aca="false">";"&amp;LOWER(SUBSTITUTE(SUBSTITUTE(SUBSTITUTE(L27,"; ",";"),", ",";"),",",";"))&amp;";"</f>
        <v>;gobernanza colaborativa;</v>
      </c>
      <c r="X27" s="11" t="str">
        <f aca="false">";"&amp;LOWER(SUBSTITUTE(SUBSTITUTE(SUBSTITUTE(M27,"; ",";"),", ",";"),",",";"))&amp;";"</f>
        <v>;análisis;</v>
      </c>
      <c r="Y27" s="11" t="str">
        <f aca="false">";"&amp;LOWER(SUBSTITUTE(SUBSTITUTE(SUBSTITUTE(P27,"; ",";"),", ",";"),",",";"))&amp;";"</f>
        <v>;otra institución pública;</v>
      </c>
      <c r="Z27" s="11" t="str">
        <f aca="false">";"&amp;LOWER(SUBSTITUTE(SUBSTITUTE(SUBSTITUTE(S27,"; ",";"),", ",";"),",",";"))&amp;";"</f>
        <v>;privado;</v>
      </c>
      <c r="AA27" s="11" t="str">
        <f aca="false">";"&amp;LOWER(SUBSTITUTE(SUBSTITUTE(SUBSTITUTE(T27,"; ",";"),", ",";"),",",";"))&amp;";"</f>
        <v>;internacional;</v>
      </c>
      <c r="AB27" s="11" t="str">
        <f aca="false">";"&amp;LOWER(SUBSTITUTE(SUBSTITUTE(SUBSTITUTE(U27,"; ",";"),", ",";"),",",";"))&amp;";"</f>
        <v>;nlp - tópicos;nlp - sentiment;</v>
      </c>
      <c r="AC27" s="12" t="n">
        <f aca="false">IF(ISNUMBER(SEARCH(";participación digital;",W27)),1,0)</f>
        <v>0</v>
      </c>
      <c r="AD27" s="12" t="n">
        <f aca="false">IF(ISNUMBER(SEARCH(";gobernanza colaborativa;",W27)),1,0)</f>
        <v>1</v>
      </c>
      <c r="AE27" s="12" t="n">
        <f aca="false">IF(ISNUMBER(SEARCH(";mini públicos;",W27)),1,0)</f>
        <v>0</v>
      </c>
      <c r="AF27" s="12" t="n">
        <f aca="false">IF(ISNUMBER(SEARCH(";referendos e iniciativas populares;",W27)),1,0)</f>
        <v>0</v>
      </c>
      <c r="AG27" s="12" t="n">
        <f aca="false">IF(ISNUMBER(SEARCH(";presupuestos participativos;",W27)),1,0)</f>
        <v>0</v>
      </c>
      <c r="AH27" s="12" t="n">
        <f aca="false">IF(ISNUMBER(SEARCH(";planificación;",X27)),1,0)</f>
        <v>0</v>
      </c>
      <c r="AI27" s="12" t="n">
        <f aca="false">IF(ISNUMBER(SEARCH(";implementación;",X27)),1,0)</f>
        <v>0</v>
      </c>
      <c r="AJ27" s="12" t="n">
        <f aca="false">IF(ISNUMBER(SEARCH(";análisis;",X27)),1,0)</f>
        <v>1</v>
      </c>
      <c r="AK27" s="12" t="n">
        <f aca="false">IF(ISNUMBER(SEARCH("traducción",X27)),1,0)</f>
        <v>0</v>
      </c>
      <c r="AL27" s="12" t="n">
        <f aca="false">IF(ISNUMBER(SEARCH(";gobierno local;",Y27)),1,0)</f>
        <v>0</v>
      </c>
      <c r="AM27" s="12" t="n">
        <f aca="false">IF(ISNUMBER(SEARCH(";gobierno nacional;",Y27)),1,0)</f>
        <v>0</v>
      </c>
      <c r="AN27" s="12" t="n">
        <f aca="false">IF(ISNUMBER(SEARCH(";otra institución pública;",Y27)),1,0)</f>
        <v>1</v>
      </c>
      <c r="AO27" s="12" t="n">
        <f aca="false">IF(ISNUMBER(SEARCH(";empresa;",Y27)),1,0)</f>
        <v>0</v>
      </c>
      <c r="AP27" s="12" t="n">
        <f aca="false">IF(ISNUMBER(SEARCH(";universidad;",Y27)),1,0)</f>
        <v>0</v>
      </c>
      <c r="AQ27" s="12" t="n">
        <f aca="false">IF(ISNUMBER(SEARCH(";sociedad civil;",Y27)),1,0)</f>
        <v>0</v>
      </c>
      <c r="AR27" s="12" t="n">
        <f aca="false">IF(ISNUMBER(SEARCH(";organización internacional;",Y27)),1,0)</f>
        <v>0</v>
      </c>
      <c r="AS27" s="12" t="n">
        <f aca="false">IF(ISNUMBER(SEARCH(";privado;",Z27)),1,0)</f>
        <v>1</v>
      </c>
      <c r="AT27" s="12" t="n">
        <f aca="false">IF(ISNUMBER(SEARCH(";academia;",Z27)),1,0)</f>
        <v>0</v>
      </c>
      <c r="AU27" s="12" t="n">
        <f aca="false">IF(ISNUMBER(SEARCH(";gobierno;",Z27)),1,0)</f>
        <v>0</v>
      </c>
      <c r="AV27" s="12" t="n">
        <f aca="false">IF(ISNUMBER(SEARCH(";sociedad civil;",Z27)),1,0)</f>
        <v>0</v>
      </c>
      <c r="AW27" s="12" t="n">
        <f aca="false">IF(ISNUMBER(SEARCH(";nacional;",AA27)),1,0)</f>
        <v>0</v>
      </c>
      <c r="AX27" s="12" t="n">
        <f aca="false">IF(ISNUMBER(SEARCH(";internacional;",AA27)),1,0)</f>
        <v>1</v>
      </c>
      <c r="AY27" s="13" t="n">
        <f aca="false">IF(AND(N27=1,('2 · Índice por país'!$B$25-D27)&gt;'2 · Índice por país'!$B$26),0,N27)</f>
        <v>2</v>
      </c>
      <c r="AZ27" s="12" t="str">
        <f aca="false">IF(SUM(AL27:AR27)&lt;2,"",IF(AL27=1,"GL+","")&amp;IF(AM27=1,"GN+","")&amp;IF(AN27=1,"OIP+","")&amp;IF(AO27=1,"EMP+","")&amp;IF(AP27=1,"UNI+","")&amp;IF(AQ27=1,"SC+","")&amp;IF(AR27=1,"OI+",""))</f>
        <v/>
      </c>
      <c r="BA27" s="12" t="n">
        <f aca="false">IF(AZ27="",0,IF(COUNTIFS($A$1:$A26,A27,$AZ$1:$AZ26,AZ27)=0,1,0))</f>
        <v>0</v>
      </c>
    </row>
    <row r="28" customFormat="false" ht="45.75" hidden="false" customHeight="true" outlineLevel="0" collapsed="false">
      <c r="A28" s="5" t="s">
        <v>281</v>
      </c>
      <c r="B28" s="5" t="s">
        <v>282</v>
      </c>
      <c r="C28" s="6" t="s">
        <v>283</v>
      </c>
      <c r="D28" s="7" t="n">
        <v>2021</v>
      </c>
      <c r="E28" s="6" t="s">
        <v>284</v>
      </c>
      <c r="F28" s="6" t="s">
        <v>285</v>
      </c>
      <c r="G28" s="6" t="s">
        <v>286</v>
      </c>
      <c r="H28" s="6"/>
      <c r="I28" s="6"/>
      <c r="J28" s="8" t="s">
        <v>287</v>
      </c>
      <c r="K28" s="9" t="s">
        <v>60</v>
      </c>
      <c r="L28" s="9" t="s">
        <v>242</v>
      </c>
      <c r="M28" s="9" t="s">
        <v>62</v>
      </c>
      <c r="N28" s="10" t="n">
        <v>2</v>
      </c>
      <c r="O28" s="9" t="s">
        <v>63</v>
      </c>
      <c r="P28" s="9" t="s">
        <v>174</v>
      </c>
      <c r="Q28" s="9" t="s">
        <v>65</v>
      </c>
      <c r="R28" s="9" t="s">
        <v>66</v>
      </c>
      <c r="S28" s="9" t="s">
        <v>244</v>
      </c>
      <c r="T28" s="9" t="s">
        <v>81</v>
      </c>
      <c r="U28" s="9" t="s">
        <v>288</v>
      </c>
      <c r="V28" s="9" t="s">
        <v>83</v>
      </c>
      <c r="W28" s="11" t="str">
        <f aca="false">";"&amp;LOWER(SUBSTITUTE(SUBSTITUTE(SUBSTITUTE(L28,"; ",";"),", ",";"),",",";"))&amp;";"</f>
        <v>;referendos e iniciativas populares;</v>
      </c>
      <c r="X28" s="11" t="str">
        <f aca="false">";"&amp;LOWER(SUBSTITUTE(SUBSTITUTE(SUBSTITUTE(M28,"; ",";"),", ",";"),",",";"))&amp;";"</f>
        <v>;análisis;</v>
      </c>
      <c r="Y28" s="11" t="str">
        <f aca="false">";"&amp;LOWER(SUBSTITUTE(SUBSTITUTE(SUBSTITUTE(P28,"; ",";"),", ",";"),",",";"))&amp;";"</f>
        <v>;universidad;</v>
      </c>
      <c r="Z28" s="11" t="str">
        <f aca="false">";"&amp;LOWER(SUBSTITUTE(SUBSTITUTE(SUBSTITUTE(S28,"; ",";"),", ",";"),",",";"))&amp;";"</f>
        <v>;sociedad civil;</v>
      </c>
      <c r="AA28" s="11" t="str">
        <f aca="false">";"&amp;LOWER(SUBSTITUTE(SUBSTITUTE(SUBSTITUTE(T28,"; ",";"),", ",";"),",",";"))&amp;";"</f>
        <v>;internacional;</v>
      </c>
      <c r="AB28" s="11" t="str">
        <f aca="false">";"&amp;LOWER(SUBSTITUTE(SUBSTITUTE(SUBSTITUTE(U28,"; ",";"),", ",";"),",",";"))&amp;";"</f>
        <v>;clustering;ml - inespecífico;</v>
      </c>
      <c r="AC28" s="12" t="n">
        <f aca="false">IF(ISNUMBER(SEARCH(";participación digital;",W28)),1,0)</f>
        <v>0</v>
      </c>
      <c r="AD28" s="12" t="n">
        <f aca="false">IF(ISNUMBER(SEARCH(";gobernanza colaborativa;",W28)),1,0)</f>
        <v>0</v>
      </c>
      <c r="AE28" s="12" t="n">
        <f aca="false">IF(ISNUMBER(SEARCH(";mini públicos;",W28)),1,0)</f>
        <v>0</v>
      </c>
      <c r="AF28" s="12" t="n">
        <f aca="false">IF(ISNUMBER(SEARCH(";referendos e iniciativas populares;",W28)),1,0)</f>
        <v>1</v>
      </c>
      <c r="AG28" s="12" t="n">
        <f aca="false">IF(ISNUMBER(SEARCH(";presupuestos participativos;",W28)),1,0)</f>
        <v>0</v>
      </c>
      <c r="AH28" s="12" t="n">
        <f aca="false">IF(ISNUMBER(SEARCH(";planificación;",X28)),1,0)</f>
        <v>0</v>
      </c>
      <c r="AI28" s="12" t="n">
        <f aca="false">IF(ISNUMBER(SEARCH(";implementación;",X28)),1,0)</f>
        <v>0</v>
      </c>
      <c r="AJ28" s="12" t="n">
        <f aca="false">IF(ISNUMBER(SEARCH(";análisis;",X28)),1,0)</f>
        <v>1</v>
      </c>
      <c r="AK28" s="12" t="n">
        <f aca="false">IF(ISNUMBER(SEARCH("traducción",X28)),1,0)</f>
        <v>0</v>
      </c>
      <c r="AL28" s="12" t="n">
        <f aca="false">IF(ISNUMBER(SEARCH(";gobierno local;",Y28)),1,0)</f>
        <v>0</v>
      </c>
      <c r="AM28" s="12" t="n">
        <f aca="false">IF(ISNUMBER(SEARCH(";gobierno nacional;",Y28)),1,0)</f>
        <v>0</v>
      </c>
      <c r="AN28" s="12" t="n">
        <f aca="false">IF(ISNUMBER(SEARCH(";otra institución pública;",Y28)),1,0)</f>
        <v>0</v>
      </c>
      <c r="AO28" s="12" t="n">
        <f aca="false">IF(ISNUMBER(SEARCH(";empresa;",Y28)),1,0)</f>
        <v>0</v>
      </c>
      <c r="AP28" s="12" t="n">
        <f aca="false">IF(ISNUMBER(SEARCH(";universidad;",Y28)),1,0)</f>
        <v>1</v>
      </c>
      <c r="AQ28" s="12" t="n">
        <f aca="false">IF(ISNUMBER(SEARCH(";sociedad civil;",Y28)),1,0)</f>
        <v>0</v>
      </c>
      <c r="AR28" s="12" t="n">
        <f aca="false">IF(ISNUMBER(SEARCH(";organización internacional;",Y28)),1,0)</f>
        <v>0</v>
      </c>
      <c r="AS28" s="12" t="n">
        <f aca="false">IF(ISNUMBER(SEARCH(";privado;",Z28)),1,0)</f>
        <v>0</v>
      </c>
      <c r="AT28" s="12" t="n">
        <f aca="false">IF(ISNUMBER(SEARCH(";academia;",Z28)),1,0)</f>
        <v>0</v>
      </c>
      <c r="AU28" s="12" t="n">
        <f aca="false">IF(ISNUMBER(SEARCH(";gobierno;",Z28)),1,0)</f>
        <v>0</v>
      </c>
      <c r="AV28" s="12" t="n">
        <f aca="false">IF(ISNUMBER(SEARCH(";sociedad civil;",Z28)),1,0)</f>
        <v>1</v>
      </c>
      <c r="AW28" s="12" t="n">
        <f aca="false">IF(ISNUMBER(SEARCH(";nacional;",AA28)),1,0)</f>
        <v>0</v>
      </c>
      <c r="AX28" s="12" t="n">
        <f aca="false">IF(ISNUMBER(SEARCH(";internacional;",AA28)),1,0)</f>
        <v>1</v>
      </c>
      <c r="AY28" s="13" t="n">
        <f aca="false">IF(AND(N28=1,('2 · Índice por país'!$B$25-D28)&gt;'2 · Índice por país'!$B$26),0,N28)</f>
        <v>2</v>
      </c>
      <c r="AZ28" s="12" t="str">
        <f aca="false">IF(SUM(AL28:AR28)&lt;2,"",IF(AL28=1,"GL+","")&amp;IF(AM28=1,"GN+","")&amp;IF(AN28=1,"OIP+","")&amp;IF(AO28=1,"EMP+","")&amp;IF(AP28=1,"UNI+","")&amp;IF(AQ28=1,"SC+","")&amp;IF(AR28=1,"OI+",""))</f>
        <v/>
      </c>
      <c r="BA28" s="12" t="n">
        <f aca="false">IF(AZ28="",0,IF(COUNTIFS($A$1:$A27,A28,$AZ$1:$AZ27,AZ28)=0,1,0))</f>
        <v>0</v>
      </c>
    </row>
    <row r="29" customFormat="false" ht="45.75" hidden="false" customHeight="true" outlineLevel="0" collapsed="false">
      <c r="A29" s="5" t="s">
        <v>289</v>
      </c>
      <c r="B29" s="5" t="s">
        <v>290</v>
      </c>
      <c r="C29" s="6" t="s">
        <v>291</v>
      </c>
      <c r="D29" s="7" t="n">
        <v>2025</v>
      </c>
      <c r="E29" s="6" t="s">
        <v>292</v>
      </c>
      <c r="F29" s="6" t="s">
        <v>293</v>
      </c>
      <c r="G29" s="6" t="s">
        <v>294</v>
      </c>
      <c r="H29" s="6"/>
      <c r="I29" s="6"/>
      <c r="J29" s="16" t="s">
        <v>295</v>
      </c>
      <c r="K29" s="9" t="s">
        <v>60</v>
      </c>
      <c r="L29" s="9" t="s">
        <v>242</v>
      </c>
      <c r="M29" s="9" t="s">
        <v>62</v>
      </c>
      <c r="N29" s="10" t="n">
        <v>1</v>
      </c>
      <c r="O29" s="9" t="s">
        <v>92</v>
      </c>
      <c r="P29" s="9" t="s">
        <v>64</v>
      </c>
      <c r="Q29" s="9" t="s">
        <v>65</v>
      </c>
      <c r="R29" s="9" t="s">
        <v>66</v>
      </c>
      <c r="S29" s="9" t="s">
        <v>135</v>
      </c>
      <c r="T29" s="9" t="s">
        <v>68</v>
      </c>
      <c r="U29" s="9" t="s">
        <v>296</v>
      </c>
      <c r="V29" s="9" t="s">
        <v>70</v>
      </c>
      <c r="W29" s="11" t="str">
        <f aca="false">";"&amp;LOWER(SUBSTITUTE(SUBSTITUTE(SUBSTITUTE(L29,"; ",";"),", ",";"),",",";"))&amp;";"</f>
        <v>;referendos e iniciativas populares;</v>
      </c>
      <c r="X29" s="11" t="str">
        <f aca="false">";"&amp;LOWER(SUBSTITUTE(SUBSTITUTE(SUBSTITUTE(M29,"; ",";"),", ",";"),",",";"))&amp;";"</f>
        <v>;análisis;</v>
      </c>
      <c r="Y29" s="11" t="str">
        <f aca="false">";"&amp;LOWER(SUBSTITUTE(SUBSTITUTE(SUBSTITUTE(P29,"; ",";"),", ",";"),",",";"))&amp;";"</f>
        <v>;gobierno nacional;</v>
      </c>
      <c r="Z29" s="11" t="str">
        <f aca="false">";"&amp;LOWER(SUBSTITUTE(SUBSTITUTE(SUBSTITUTE(S29,"; ",";"),", ",";"),",",";"))&amp;";"</f>
        <v>;gobierno;</v>
      </c>
      <c r="AA29" s="11" t="str">
        <f aca="false">";"&amp;LOWER(SUBSTITUTE(SUBSTITUTE(SUBSTITUTE(T29,"; ",";"),", ",";"),",",";"))&amp;";"</f>
        <v>;nacional;</v>
      </c>
      <c r="AB29" s="11" t="str">
        <f aca="false">";"&amp;LOWER(SUBSTITUTE(SUBSTITUTE(SUBSTITUTE(U29,"; ",";"),", ",";"),",",";"))&amp;";"</f>
        <v>;ml - inespecífico;</v>
      </c>
      <c r="AC29" s="12" t="n">
        <f aca="false">IF(ISNUMBER(SEARCH(";participación digital;",W29)),1,0)</f>
        <v>0</v>
      </c>
      <c r="AD29" s="12" t="n">
        <f aca="false">IF(ISNUMBER(SEARCH(";gobernanza colaborativa;",W29)),1,0)</f>
        <v>0</v>
      </c>
      <c r="AE29" s="12" t="n">
        <f aca="false">IF(ISNUMBER(SEARCH(";mini públicos;",W29)),1,0)</f>
        <v>0</v>
      </c>
      <c r="AF29" s="12" t="n">
        <f aca="false">IF(ISNUMBER(SEARCH(";referendos e iniciativas populares;",W29)),1,0)</f>
        <v>1</v>
      </c>
      <c r="AG29" s="12" t="n">
        <f aca="false">IF(ISNUMBER(SEARCH(";presupuestos participativos;",W29)),1,0)</f>
        <v>0</v>
      </c>
      <c r="AH29" s="12" t="n">
        <f aca="false">IF(ISNUMBER(SEARCH(";planificación;",X29)),1,0)</f>
        <v>0</v>
      </c>
      <c r="AI29" s="12" t="n">
        <f aca="false">IF(ISNUMBER(SEARCH(";implementación;",X29)),1,0)</f>
        <v>0</v>
      </c>
      <c r="AJ29" s="12" t="n">
        <f aca="false">IF(ISNUMBER(SEARCH(";análisis;",X29)),1,0)</f>
        <v>1</v>
      </c>
      <c r="AK29" s="12" t="n">
        <f aca="false">IF(ISNUMBER(SEARCH("traducción",X29)),1,0)</f>
        <v>0</v>
      </c>
      <c r="AL29" s="12" t="n">
        <f aca="false">IF(ISNUMBER(SEARCH(";gobierno local;",Y29)),1,0)</f>
        <v>0</v>
      </c>
      <c r="AM29" s="12" t="n">
        <f aca="false">IF(ISNUMBER(SEARCH(";gobierno nacional;",Y29)),1,0)</f>
        <v>1</v>
      </c>
      <c r="AN29" s="12" t="n">
        <f aca="false">IF(ISNUMBER(SEARCH(";otra institución pública;",Y29)),1,0)</f>
        <v>0</v>
      </c>
      <c r="AO29" s="12" t="n">
        <f aca="false">IF(ISNUMBER(SEARCH(";empresa;",Y29)),1,0)</f>
        <v>0</v>
      </c>
      <c r="AP29" s="12" t="n">
        <f aca="false">IF(ISNUMBER(SEARCH(";universidad;",Y29)),1,0)</f>
        <v>0</v>
      </c>
      <c r="AQ29" s="12" t="n">
        <f aca="false">IF(ISNUMBER(SEARCH(";sociedad civil;",Y29)),1,0)</f>
        <v>0</v>
      </c>
      <c r="AR29" s="12" t="n">
        <f aca="false">IF(ISNUMBER(SEARCH(";organización internacional;",Y29)),1,0)</f>
        <v>0</v>
      </c>
      <c r="AS29" s="12" t="n">
        <f aca="false">IF(ISNUMBER(SEARCH(";privado;",Z29)),1,0)</f>
        <v>0</v>
      </c>
      <c r="AT29" s="12" t="n">
        <f aca="false">IF(ISNUMBER(SEARCH(";academia;",Z29)),1,0)</f>
        <v>0</v>
      </c>
      <c r="AU29" s="12" t="n">
        <f aca="false">IF(ISNUMBER(SEARCH(";gobierno;",Z29)),1,0)</f>
        <v>1</v>
      </c>
      <c r="AV29" s="12" t="n">
        <f aca="false">IF(ISNUMBER(SEARCH(";sociedad civil;",Z29)),1,0)</f>
        <v>0</v>
      </c>
      <c r="AW29" s="12" t="n">
        <f aca="false">IF(ISNUMBER(SEARCH(";nacional;",AA29)),1,0)</f>
        <v>1</v>
      </c>
      <c r="AX29" s="12" t="n">
        <f aca="false">IF(ISNUMBER(SEARCH(";internacional;",AA29)),1,0)</f>
        <v>0</v>
      </c>
      <c r="AY29" s="13" t="n">
        <f aca="false">IF(AND(N29=1,('2 · Índice por país'!$B$25-D29)&gt;'2 · Índice por país'!$B$26),0,N29)</f>
        <v>1</v>
      </c>
      <c r="AZ29" s="12" t="str">
        <f aca="false">IF(SUM(AL29:AR29)&lt;2,"",IF(AL29=1,"GL+","")&amp;IF(AM29=1,"GN+","")&amp;IF(AN29=1,"OIP+","")&amp;IF(AO29=1,"EMP+","")&amp;IF(AP29=1,"UNI+","")&amp;IF(AQ29=1,"SC+","")&amp;IF(AR29=1,"OI+",""))</f>
        <v/>
      </c>
      <c r="BA29" s="12" t="n">
        <f aca="false">IF(AZ29="",0,IF(COUNTIFS($A$1:$A28,A29,$AZ$1:$AZ28,AZ29)=0,1,0))</f>
        <v>0</v>
      </c>
    </row>
    <row r="32" customFormat="false" ht="15" hidden="false" customHeight="false" outlineLevel="0" collapsed="false">
      <c r="A32" s="17" t="s">
        <v>297</v>
      </c>
    </row>
    <row r="33" customFormat="false" ht="30" hidden="false" customHeight="true" outlineLevel="0" collapsed="false">
      <c r="A33" s="18" t="s">
        <v>298</v>
      </c>
      <c r="B33" s="18"/>
      <c r="C33" s="18"/>
      <c r="D33" s="18"/>
      <c r="E33" s="18"/>
      <c r="F33" s="18"/>
      <c r="G33" s="18"/>
      <c r="H33" s="18"/>
      <c r="I33" s="18"/>
      <c r="J33" s="18"/>
      <c r="K33" s="18"/>
    </row>
    <row r="34" customFormat="false" ht="30" hidden="false" customHeight="true" outlineLevel="0" collapsed="false">
      <c r="A34" s="18" t="s">
        <v>299</v>
      </c>
      <c r="B34" s="18"/>
      <c r="C34" s="18"/>
      <c r="D34" s="18"/>
      <c r="E34" s="18"/>
      <c r="F34" s="18"/>
      <c r="G34" s="18"/>
      <c r="H34" s="18"/>
      <c r="I34" s="18"/>
      <c r="J34" s="18"/>
      <c r="K34" s="18"/>
    </row>
    <row r="35" customFormat="false" ht="30" hidden="false" customHeight="true" outlineLevel="0" collapsed="false">
      <c r="A35" s="18" t="s">
        <v>300</v>
      </c>
      <c r="B35" s="18"/>
      <c r="C35" s="18"/>
      <c r="D35" s="18"/>
      <c r="E35" s="18"/>
      <c r="F35" s="18"/>
      <c r="G35" s="18"/>
      <c r="H35" s="18"/>
      <c r="I35" s="18"/>
      <c r="J35" s="18"/>
      <c r="K35" s="18"/>
    </row>
    <row r="36" customFormat="false" ht="30" hidden="false" customHeight="true" outlineLevel="0" collapsed="false">
      <c r="A36" s="18" t="s">
        <v>301</v>
      </c>
      <c r="B36" s="18"/>
      <c r="C36" s="18"/>
      <c r="D36" s="18"/>
      <c r="E36" s="18"/>
      <c r="F36" s="18"/>
      <c r="G36" s="18"/>
      <c r="H36" s="18"/>
      <c r="I36" s="18"/>
      <c r="J36" s="18"/>
      <c r="K36" s="18"/>
    </row>
    <row r="37" customFormat="false" ht="30" hidden="false" customHeight="true" outlineLevel="0" collapsed="false">
      <c r="A37" s="18" t="s">
        <v>302</v>
      </c>
      <c r="B37" s="18"/>
      <c r="C37" s="18"/>
      <c r="D37" s="18"/>
      <c r="E37" s="18"/>
      <c r="F37" s="18"/>
      <c r="G37" s="18"/>
      <c r="H37" s="18"/>
      <c r="I37" s="18"/>
      <c r="J37" s="18"/>
      <c r="K37" s="18"/>
    </row>
    <row r="38" customFormat="false" ht="30" hidden="false" customHeight="true" outlineLevel="0" collapsed="false">
      <c r="A38" s="18" t="s">
        <v>303</v>
      </c>
      <c r="B38" s="18"/>
      <c r="C38" s="18"/>
      <c r="D38" s="18"/>
      <c r="E38" s="18"/>
      <c r="F38" s="18"/>
      <c r="G38" s="18"/>
      <c r="H38" s="18"/>
      <c r="I38" s="18"/>
      <c r="J38" s="18"/>
      <c r="K38" s="18"/>
    </row>
    <row r="39" customFormat="false" ht="30" hidden="false" customHeight="true" outlineLevel="0" collapsed="false">
      <c r="A39" s="18" t="s">
        <v>304</v>
      </c>
      <c r="B39" s="18"/>
      <c r="C39" s="18"/>
      <c r="D39" s="18"/>
      <c r="E39" s="18"/>
      <c r="F39" s="18"/>
      <c r="G39" s="18"/>
      <c r="H39" s="18"/>
      <c r="I39" s="18"/>
      <c r="J39" s="18"/>
      <c r="K39" s="18"/>
    </row>
  </sheetData>
  <autoFilter ref="A1:BA29"/>
  <mergeCells count="7">
    <mergeCell ref="A33:K33"/>
    <mergeCell ref="A34:K34"/>
    <mergeCell ref="A35:K35"/>
    <mergeCell ref="A36:K36"/>
    <mergeCell ref="A37:K37"/>
    <mergeCell ref="A38:K38"/>
    <mergeCell ref="A39:K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4" min="2" style="0" width="10"/>
  </cols>
  <sheetData>
    <row r="1" customFormat="false" ht="15" hidden="false" customHeight="false" outlineLevel="0" collapsed="false">
      <c r="A1" s="19" t="s">
        <v>305</v>
      </c>
    </row>
    <row r="2" customFormat="false" ht="19.4" hidden="false" customHeight="false" outlineLevel="0" collapsed="false">
      <c r="A2" s="20" t="s">
        <v>306</v>
      </c>
      <c r="B2" s="20" t="s">
        <v>307</v>
      </c>
      <c r="C2" s="20" t="s">
        <v>308</v>
      </c>
      <c r="D2" s="20" t="s">
        <v>309</v>
      </c>
      <c r="E2" s="20" t="s">
        <v>310</v>
      </c>
      <c r="F2" s="20" t="s">
        <v>311</v>
      </c>
      <c r="G2" s="20" t="s">
        <v>312</v>
      </c>
      <c r="H2" s="20" t="s">
        <v>313</v>
      </c>
      <c r="I2" s="20" t="s">
        <v>314</v>
      </c>
      <c r="J2" s="20" t="s">
        <v>315</v>
      </c>
      <c r="K2" s="20" t="s">
        <v>316</v>
      </c>
      <c r="L2" s="20" t="s">
        <v>317</v>
      </c>
      <c r="M2" s="20" t="s">
        <v>318</v>
      </c>
      <c r="N2" s="20" t="s">
        <v>319</v>
      </c>
      <c r="O2" s="20" t="s">
        <v>320</v>
      </c>
      <c r="P2" s="20" t="s">
        <v>321</v>
      </c>
      <c r="Q2" s="20" t="s">
        <v>322</v>
      </c>
      <c r="R2" s="20" t="s">
        <v>323</v>
      </c>
      <c r="S2" s="20" t="s">
        <v>324</v>
      </c>
      <c r="T2" s="20" t="s">
        <v>325</v>
      </c>
      <c r="U2" s="20" t="s">
        <v>326</v>
      </c>
      <c r="V2" s="20" t="s">
        <v>327</v>
      </c>
      <c r="W2" s="20" t="s">
        <v>328</v>
      </c>
      <c r="X2" s="20" t="s">
        <v>329</v>
      </c>
    </row>
    <row r="3" customFormat="false" ht="15" hidden="false" customHeight="false" outlineLevel="0" collapsed="false">
      <c r="A3" s="21" t="s">
        <v>330</v>
      </c>
      <c r="B3" s="22" t="n">
        <f aca="false">COUNTIFS('1 · BBDD Casos incluidos'!$A$2:$A$29,$A3,'1 · BBDD Casos incluidos'!$K$2:$K$29,"sí")</f>
        <v>0</v>
      </c>
      <c r="C3" s="22" t="n">
        <f aca="false">SUM(B45:F45)</f>
        <v>0</v>
      </c>
      <c r="D3" s="23" t="n">
        <f aca="false">C3/5*100</f>
        <v>0</v>
      </c>
      <c r="E3" s="22" t="n">
        <f aca="false">SUM(B69:E69)</f>
        <v>0</v>
      </c>
      <c r="F3" s="23" t="n">
        <f aca="false">E3/4*100</f>
        <v>0</v>
      </c>
      <c r="G3" s="22" t="n">
        <f aca="false">_xlfn.MAXIFS('1 · BBDD Casos incluidos'!$AY$2:$AY$29,'1 · BBDD Casos incluidos'!$A$2:$A$29,$A3)</f>
        <v>0</v>
      </c>
      <c r="H3" s="23" t="n">
        <f aca="false">G3/3*100</f>
        <v>0</v>
      </c>
      <c r="I3" s="22" t="n">
        <f aca="false">SUM(B93:D93)</f>
        <v>0</v>
      </c>
      <c r="J3" s="22" t="n">
        <f aca="false">SUM(B117:E117)</f>
        <v>0</v>
      </c>
      <c r="K3" s="22" t="n">
        <f aca="false">SUMIFS('1 · BBDD Casos incluidos'!$BA$2:$BA$29,'1 · BBDD Casos incluidos'!$A$2:$A$29,$A3)</f>
        <v>0</v>
      </c>
      <c r="L3" s="23" t="n">
        <f aca="false">(I3/3+J3/4+IF($B37=0,0,K3/$B37))/3*100</f>
        <v>0</v>
      </c>
      <c r="M3" s="23" t="n">
        <f aca="false">IF(B3&lt;=$C$30,$D$30,IF(B3&lt;=$C$31,$D$31,IF(B3&lt;=$C$32,$D$32,IF(B3&lt;=$C$33,$D$33,$D$34))))</f>
        <v>0</v>
      </c>
      <c r="N3" s="23" t="n">
        <f aca="false">AVERAGE(D3,F3,H3,L3,M3)</f>
        <v>0</v>
      </c>
      <c r="O3" s="22" t="n">
        <f aca="false">SUM(B141:E141)</f>
        <v>0</v>
      </c>
      <c r="P3" s="22" t="n">
        <f aca="false">SUM(B165:E165)</f>
        <v>0</v>
      </c>
      <c r="Q3" s="23" t="n">
        <f aca="false">(IF($B38=0,0,O3/$B38)+IF($B39=0,0,P3/$B39))/2*100</f>
        <v>0</v>
      </c>
      <c r="R3" s="22" t="n">
        <f aca="false">B214</f>
        <v>0</v>
      </c>
      <c r="S3" s="23" t="n">
        <f aca="false">IF($B40=0,0,R3/$B40*100)</f>
        <v>0</v>
      </c>
      <c r="T3" s="23" t="n">
        <f aca="false">AVERAGE(Q3,S3)</f>
        <v>0</v>
      </c>
      <c r="U3" s="22" t="n">
        <f aca="false">ROUND(N3,0)</f>
        <v>0</v>
      </c>
      <c r="V3" s="22" t="n">
        <f aca="false">ROUND(T3,0)</f>
        <v>0</v>
      </c>
      <c r="W3" s="24" t="n">
        <f aca="false">ROUND((U3+V3)/2,0)</f>
        <v>0</v>
      </c>
      <c r="X3" s="23" t="n">
        <f aca="false">(N3+T3)/2</f>
        <v>0</v>
      </c>
    </row>
    <row r="4" customFormat="false" ht="15" hidden="false" customHeight="false" outlineLevel="0" collapsed="false">
      <c r="A4" s="21" t="s">
        <v>71</v>
      </c>
      <c r="B4" s="22" t="n">
        <f aca="false">COUNTIFS('1 · BBDD Casos incluidos'!$A$2:$A$29,$A4,'1 · BBDD Casos incluidos'!$K$2:$K$29,"sí")</f>
        <v>1</v>
      </c>
      <c r="C4" s="22" t="n">
        <f aca="false">SUM(B46:F46)</f>
        <v>1</v>
      </c>
      <c r="D4" s="23" t="n">
        <f aca="false">C4/5*100</f>
        <v>20</v>
      </c>
      <c r="E4" s="22" t="n">
        <f aca="false">SUM(B70:E70)</f>
        <v>2</v>
      </c>
      <c r="F4" s="23" t="n">
        <f aca="false">E4/4*100</f>
        <v>50</v>
      </c>
      <c r="G4" s="22" t="n">
        <f aca="false">_xlfn.MAXIFS('1 · BBDD Casos incluidos'!$AY$2:$AY$29,'1 · BBDD Casos incluidos'!$A$2:$A$29,$A4)</f>
        <v>2</v>
      </c>
      <c r="H4" s="23" t="n">
        <f aca="false">G4/3*100</f>
        <v>66.6666666666667</v>
      </c>
      <c r="I4" s="22" t="n">
        <f aca="false">SUM(B94:D94)</f>
        <v>1</v>
      </c>
      <c r="J4" s="22" t="n">
        <f aca="false">SUM(B118:E118)</f>
        <v>1</v>
      </c>
      <c r="K4" s="22" t="n">
        <f aca="false">SUMIFS('1 · BBDD Casos incluidos'!$BA$2:$BA$29,'1 · BBDD Casos incluidos'!$A$2:$A$29,$A4)</f>
        <v>1</v>
      </c>
      <c r="L4" s="23" t="n">
        <f aca="false">(I4/3+J4/4+IF($B37=0,0,K4/$B37))/3*100</f>
        <v>36.1111111111111</v>
      </c>
      <c r="M4" s="23" t="n">
        <f aca="false">IF(B4&lt;=$C$30,$D$30,IF(B4&lt;=$C$31,$D$31,IF(B4&lt;=$C$32,$D$32,IF(B4&lt;=$C$33,$D$33,$D$34))))</f>
        <v>25</v>
      </c>
      <c r="N4" s="23" t="n">
        <f aca="false">AVERAGE(D4,F4,H4,L4,M4)</f>
        <v>39.5555555555556</v>
      </c>
      <c r="O4" s="22" t="n">
        <f aca="false">SUM(B142:E142)</f>
        <v>0</v>
      </c>
      <c r="P4" s="22" t="n">
        <f aca="false">SUM(B166:E166)</f>
        <v>1</v>
      </c>
      <c r="Q4" s="23" t="n">
        <f aca="false">(IF($B38=0,0,O4/$B38)+IF($B39=0,0,P4/$B39))/2*100</f>
        <v>16.6666666666667</v>
      </c>
      <c r="R4" s="22" t="n">
        <f aca="false">C214</f>
        <v>1</v>
      </c>
      <c r="S4" s="23" t="n">
        <f aca="false">IF($B40=0,0,R4/$B40*100)</f>
        <v>9.09090909090909</v>
      </c>
      <c r="T4" s="23" t="n">
        <f aca="false">AVERAGE(Q4,S4)</f>
        <v>12.8787878787879</v>
      </c>
      <c r="U4" s="22" t="n">
        <f aca="false">ROUND(N4,0)</f>
        <v>40</v>
      </c>
      <c r="V4" s="22" t="n">
        <f aca="false">ROUND(T4,0)</f>
        <v>13</v>
      </c>
      <c r="W4" s="24" t="n">
        <f aca="false">ROUND((U4+V4)/2,0)</f>
        <v>27</v>
      </c>
      <c r="X4" s="23" t="n">
        <f aca="false">(N4+T4)/2</f>
        <v>26.2171717171717</v>
      </c>
    </row>
    <row r="5" customFormat="false" ht="15" hidden="false" customHeight="false" outlineLevel="0" collapsed="false">
      <c r="A5" s="21" t="s">
        <v>53</v>
      </c>
      <c r="B5" s="22" t="n">
        <f aca="false">COUNTIFS('1 · BBDD Casos incluidos'!$A$2:$A$29,$A5,'1 · BBDD Casos incluidos'!$K$2:$K$29,"sí")</f>
        <v>7</v>
      </c>
      <c r="C5" s="22" t="n">
        <f aca="false">SUM(B47:F47)</f>
        <v>5</v>
      </c>
      <c r="D5" s="23" t="n">
        <f aca="false">C5/5*100</f>
        <v>100</v>
      </c>
      <c r="E5" s="22" t="n">
        <f aca="false">SUM(B71:E71)</f>
        <v>3</v>
      </c>
      <c r="F5" s="23" t="n">
        <f aca="false">E5/4*100</f>
        <v>75</v>
      </c>
      <c r="G5" s="22" t="n">
        <f aca="false">_xlfn.MAXIFS('1 · BBDD Casos incluidos'!$AY$2:$AY$29,'1 · BBDD Casos incluidos'!$A$2:$A$29,$A5)</f>
        <v>3</v>
      </c>
      <c r="H5" s="23" t="n">
        <f aca="false">G5/3*100</f>
        <v>100</v>
      </c>
      <c r="I5" s="22" t="n">
        <f aca="false">SUM(B95:D95)</f>
        <v>2</v>
      </c>
      <c r="J5" s="22" t="n">
        <f aca="false">SUM(B119:E119)</f>
        <v>2</v>
      </c>
      <c r="K5" s="22" t="n">
        <f aca="false">SUMIFS('1 · BBDD Casos incluidos'!$BA$2:$BA$29,'1 · BBDD Casos incluidos'!$A$2:$A$29,$A5)</f>
        <v>1</v>
      </c>
      <c r="L5" s="23" t="n">
        <f aca="false">(I5/3+J5/4+IF($B37=0,0,K5/$B37))/3*100</f>
        <v>55.5555555555556</v>
      </c>
      <c r="M5" s="23" t="n">
        <f aca="false">IF(B5&lt;=$C$30,$D$30,IF(B5&lt;=$C$31,$D$31,IF(B5&lt;=$C$32,$D$32,IF(B5&lt;=$C$33,$D$33,$D$34))))</f>
        <v>75</v>
      </c>
      <c r="N5" s="23" t="n">
        <f aca="false">AVERAGE(D5,F5,H5,L5,M5)</f>
        <v>81.1111111111111</v>
      </c>
      <c r="O5" s="22" t="n">
        <f aca="false">SUM(B143:E143)</f>
        <v>4</v>
      </c>
      <c r="P5" s="22" t="n">
        <f aca="false">SUM(B167:E167)</f>
        <v>3</v>
      </c>
      <c r="Q5" s="23" t="n">
        <f aca="false">(IF($B38=0,0,O5/$B38)+IF($B39=0,0,P5/$B39))/2*100</f>
        <v>100</v>
      </c>
      <c r="R5" s="22" t="n">
        <f aca="false">D214</f>
        <v>11</v>
      </c>
      <c r="S5" s="23" t="n">
        <f aca="false">IF($B40=0,0,R5/$B40*100)</f>
        <v>100</v>
      </c>
      <c r="T5" s="23" t="n">
        <f aca="false">AVERAGE(Q5,S5)</f>
        <v>100</v>
      </c>
      <c r="U5" s="22" t="n">
        <f aca="false">ROUND(N5,0)</f>
        <v>81</v>
      </c>
      <c r="V5" s="22" t="n">
        <f aca="false">ROUND(T5,0)</f>
        <v>100</v>
      </c>
      <c r="W5" s="24" t="n">
        <f aca="false">ROUND((U5+V5)/2,0)</f>
        <v>91</v>
      </c>
      <c r="X5" s="23" t="n">
        <f aca="false">(N5+T5)/2</f>
        <v>90.5555555555556</v>
      </c>
    </row>
    <row r="6" customFormat="false" ht="15" hidden="false" customHeight="false" outlineLevel="0" collapsed="false">
      <c r="A6" s="21" t="s">
        <v>147</v>
      </c>
      <c r="B6" s="22" t="n">
        <f aca="false">COUNTIFS('1 · BBDD Casos incluidos'!$A$2:$A$29,$A6,'1 · BBDD Casos incluidos'!$K$2:$K$29,"sí")</f>
        <v>9</v>
      </c>
      <c r="C6" s="22" t="n">
        <f aca="false">SUM(B48:F48)</f>
        <v>3</v>
      </c>
      <c r="D6" s="23" t="n">
        <f aca="false">C6/5*100</f>
        <v>60</v>
      </c>
      <c r="E6" s="22" t="n">
        <f aca="false">SUM(B72:E72)</f>
        <v>3</v>
      </c>
      <c r="F6" s="23" t="n">
        <f aca="false">E6/4*100</f>
        <v>75</v>
      </c>
      <c r="G6" s="22" t="n">
        <f aca="false">_xlfn.MAXIFS('1 · BBDD Casos incluidos'!$AY$2:$AY$29,'1 · BBDD Casos incluidos'!$A$2:$A$29,$A6)</f>
        <v>2</v>
      </c>
      <c r="H6" s="23" t="n">
        <f aca="false">G6/3*100</f>
        <v>66.6666666666667</v>
      </c>
      <c r="I6" s="22" t="n">
        <f aca="false">SUM(B96:D96)</f>
        <v>1</v>
      </c>
      <c r="J6" s="22" t="n">
        <f aca="false">SUM(B120:E120)</f>
        <v>3</v>
      </c>
      <c r="K6" s="22" t="n">
        <f aca="false">SUMIFS('1 · BBDD Casos incluidos'!$BA$2:$BA$29,'1 · BBDD Casos incluidos'!$A$2:$A$29,$A6)</f>
        <v>2</v>
      </c>
      <c r="L6" s="23" t="n">
        <f aca="false">(I6/3+J6/4+IF($B37=0,0,K6/$B37))/3*100</f>
        <v>69.4444444444444</v>
      </c>
      <c r="M6" s="23" t="n">
        <f aca="false">IF(B6&lt;=$C$30,$D$30,IF(B6&lt;=$C$31,$D$31,IF(B6&lt;=$C$32,$D$32,IF(B6&lt;=$C$33,$D$33,$D$34))))</f>
        <v>75</v>
      </c>
      <c r="N6" s="23" t="n">
        <f aca="false">AVERAGE(D6,F6,H6,L6,M6)</f>
        <v>69.2222222222222</v>
      </c>
      <c r="O6" s="22" t="n">
        <f aca="false">SUM(B144:E144)</f>
        <v>3</v>
      </c>
      <c r="P6" s="22" t="n">
        <f aca="false">SUM(B168:E168)</f>
        <v>1</v>
      </c>
      <c r="Q6" s="23" t="n">
        <f aca="false">(IF($B38=0,0,O6/$B38)+IF($B39=0,0,P6/$B39))/2*100</f>
        <v>54.1666666666667</v>
      </c>
      <c r="R6" s="22" t="n">
        <f aca="false">E214</f>
        <v>11</v>
      </c>
      <c r="S6" s="23" t="n">
        <f aca="false">IF($B40=0,0,R6/$B40*100)</f>
        <v>100</v>
      </c>
      <c r="T6" s="23" t="n">
        <f aca="false">AVERAGE(Q6,S6)</f>
        <v>77.0833333333333</v>
      </c>
      <c r="U6" s="22" t="n">
        <f aca="false">ROUND(N6,0)</f>
        <v>69</v>
      </c>
      <c r="V6" s="22" t="n">
        <f aca="false">ROUND(T6,0)</f>
        <v>77</v>
      </c>
      <c r="W6" s="24" t="n">
        <f aca="false">ROUND((U6+V6)/2,0)</f>
        <v>73</v>
      </c>
      <c r="X6" s="23" t="n">
        <f aca="false">(N6+T6)/2</f>
        <v>73.1527777777778</v>
      </c>
    </row>
    <row r="7" customFormat="false" ht="15" hidden="false" customHeight="false" outlineLevel="0" collapsed="false">
      <c r="A7" s="21" t="s">
        <v>202</v>
      </c>
      <c r="B7" s="22" t="n">
        <f aca="false">COUNTIFS('1 · BBDD Casos incluidos'!$A$2:$A$29,$A7,'1 · BBDD Casos incluidos'!$K$2:$K$29,"sí")</f>
        <v>3</v>
      </c>
      <c r="C7" s="22" t="n">
        <f aca="false">SUM(B49:F49)</f>
        <v>3</v>
      </c>
      <c r="D7" s="23" t="n">
        <f aca="false">C7/5*100</f>
        <v>60</v>
      </c>
      <c r="E7" s="22" t="n">
        <f aca="false">SUM(B73:E73)</f>
        <v>2</v>
      </c>
      <c r="F7" s="23" t="n">
        <f aca="false">E7/4*100</f>
        <v>50</v>
      </c>
      <c r="G7" s="22" t="n">
        <f aca="false">_xlfn.MAXIFS('1 · BBDD Casos incluidos'!$AY$2:$AY$29,'1 · BBDD Casos incluidos'!$A$2:$A$29,$A7)</f>
        <v>2</v>
      </c>
      <c r="H7" s="23" t="n">
        <f aca="false">G7/3*100</f>
        <v>66.6666666666667</v>
      </c>
      <c r="I7" s="22" t="n">
        <f aca="false">SUM(B97:D97)</f>
        <v>1</v>
      </c>
      <c r="J7" s="22" t="n">
        <f aca="false">SUM(B121:E121)</f>
        <v>4</v>
      </c>
      <c r="K7" s="22" t="n">
        <f aca="false">SUMIFS('1 · BBDD Casos incluidos'!$BA$2:$BA$29,'1 · BBDD Casos incluidos'!$A$2:$A$29,$A7)</f>
        <v>2</v>
      </c>
      <c r="L7" s="23" t="n">
        <f aca="false">(I7/3+J7/4+IF($B37=0,0,K7/$B37))/3*100</f>
        <v>77.7777777777778</v>
      </c>
      <c r="M7" s="23" t="n">
        <f aca="false">IF(B7&lt;=$C$30,$D$30,IF(B7&lt;=$C$31,$D$31,IF(B7&lt;=$C$32,$D$32,IF(B7&lt;=$C$33,$D$33,$D$34))))</f>
        <v>25</v>
      </c>
      <c r="N7" s="23" t="n">
        <f aca="false">AVERAGE(D7,F7,H7,L7,M7)</f>
        <v>55.8888888888889</v>
      </c>
      <c r="O7" s="22" t="n">
        <f aca="false">SUM(B145:E145)</f>
        <v>3</v>
      </c>
      <c r="P7" s="22" t="n">
        <f aca="false">SUM(B169:E169)</f>
        <v>1</v>
      </c>
      <c r="Q7" s="23" t="n">
        <f aca="false">(IF($B38=0,0,O7/$B38)+IF($B39=0,0,P7/$B39))/2*100</f>
        <v>54.1666666666667</v>
      </c>
      <c r="R7" s="22" t="n">
        <f aca="false">F214</f>
        <v>5</v>
      </c>
      <c r="S7" s="23" t="n">
        <f aca="false">IF($B40=0,0,R7/$B40*100)</f>
        <v>45.4545454545455</v>
      </c>
      <c r="T7" s="23" t="n">
        <f aca="false">AVERAGE(Q7,S7)</f>
        <v>49.8106060606061</v>
      </c>
      <c r="U7" s="22" t="n">
        <f aca="false">ROUND(N7,0)</f>
        <v>56</v>
      </c>
      <c r="V7" s="22" t="n">
        <f aca="false">ROUND(T7,0)</f>
        <v>50</v>
      </c>
      <c r="W7" s="24" t="n">
        <f aca="false">ROUND((U7+V7)/2,0)</f>
        <v>53</v>
      </c>
      <c r="X7" s="23" t="n">
        <f aca="false">(N7+T7)/2</f>
        <v>52.8497474747475</v>
      </c>
    </row>
    <row r="8" customFormat="false" ht="15" hidden="false" customHeight="false" outlineLevel="0" collapsed="false">
      <c r="A8" s="21" t="s">
        <v>331</v>
      </c>
      <c r="B8" s="22" t="n">
        <f aca="false">COUNTIFS('1 · BBDD Casos incluidos'!$A$2:$A$29,$A8,'1 · BBDD Casos incluidos'!$K$2:$K$29,"sí")</f>
        <v>0</v>
      </c>
      <c r="C8" s="22" t="n">
        <f aca="false">SUM(B50:F50)</f>
        <v>0</v>
      </c>
      <c r="D8" s="23" t="n">
        <f aca="false">C8/5*100</f>
        <v>0</v>
      </c>
      <c r="E8" s="22" t="n">
        <f aca="false">SUM(B74:E74)</f>
        <v>0</v>
      </c>
      <c r="F8" s="23" t="n">
        <f aca="false">E8/4*100</f>
        <v>0</v>
      </c>
      <c r="G8" s="22" t="n">
        <f aca="false">_xlfn.MAXIFS('1 · BBDD Casos incluidos'!$AY$2:$AY$29,'1 · BBDD Casos incluidos'!$A$2:$A$29,$A8)</f>
        <v>0</v>
      </c>
      <c r="H8" s="23" t="n">
        <f aca="false">G8/3*100</f>
        <v>0</v>
      </c>
      <c r="I8" s="22" t="n">
        <f aca="false">SUM(B98:D98)</f>
        <v>0</v>
      </c>
      <c r="J8" s="22" t="n">
        <f aca="false">SUM(B122:E122)</f>
        <v>0</v>
      </c>
      <c r="K8" s="22" t="n">
        <f aca="false">SUMIFS('1 · BBDD Casos incluidos'!$BA$2:$BA$29,'1 · BBDD Casos incluidos'!$A$2:$A$29,$A8)</f>
        <v>0</v>
      </c>
      <c r="L8" s="23" t="n">
        <f aca="false">(I8/3+J8/4+IF($B37=0,0,K8/$B37))/3*100</f>
        <v>0</v>
      </c>
      <c r="M8" s="23" t="n">
        <f aca="false">IF(B8&lt;=$C$30,$D$30,IF(B8&lt;=$C$31,$D$31,IF(B8&lt;=$C$32,$D$32,IF(B8&lt;=$C$33,$D$33,$D$34))))</f>
        <v>0</v>
      </c>
      <c r="N8" s="23" t="n">
        <f aca="false">AVERAGE(D8,F8,H8,L8,M8)</f>
        <v>0</v>
      </c>
      <c r="O8" s="22" t="n">
        <f aca="false">SUM(B146:E146)</f>
        <v>0</v>
      </c>
      <c r="P8" s="22" t="n">
        <f aca="false">SUM(B170:E170)</f>
        <v>0</v>
      </c>
      <c r="Q8" s="23" t="n">
        <f aca="false">(IF($B38=0,0,O8/$B38)+IF($B39=0,0,P8/$B39))/2*100</f>
        <v>0</v>
      </c>
      <c r="R8" s="22" t="n">
        <f aca="false">G214</f>
        <v>0</v>
      </c>
      <c r="S8" s="23" t="n">
        <f aca="false">IF($B40=0,0,R8/$B40*100)</f>
        <v>0</v>
      </c>
      <c r="T8" s="23" t="n">
        <f aca="false">AVERAGE(Q8,S8)</f>
        <v>0</v>
      </c>
      <c r="U8" s="22" t="n">
        <f aca="false">ROUND(N8,0)</f>
        <v>0</v>
      </c>
      <c r="V8" s="22" t="n">
        <f aca="false">ROUND(T8,0)</f>
        <v>0</v>
      </c>
      <c r="W8" s="24" t="n">
        <f aca="false">ROUND((U8+V8)/2,0)</f>
        <v>0</v>
      </c>
      <c r="X8" s="23" t="n">
        <f aca="false">(N8+T8)/2</f>
        <v>0</v>
      </c>
    </row>
    <row r="9" customFormat="false" ht="15" hidden="false" customHeight="false" outlineLevel="0" collapsed="false">
      <c r="A9" s="21" t="s">
        <v>226</v>
      </c>
      <c r="B9" s="22" t="n">
        <f aca="false">COUNTIFS('1 · BBDD Casos incluidos'!$A$2:$A$29,$A9,'1 · BBDD Casos incluidos'!$K$2:$K$29,"sí")</f>
        <v>1</v>
      </c>
      <c r="C9" s="22" t="n">
        <f aca="false">SUM(B51:F51)</f>
        <v>2</v>
      </c>
      <c r="D9" s="23" t="n">
        <f aca="false">C9/5*100</f>
        <v>40</v>
      </c>
      <c r="E9" s="22" t="n">
        <f aca="false">SUM(B75:E75)</f>
        <v>1</v>
      </c>
      <c r="F9" s="23" t="n">
        <f aca="false">E9/4*100</f>
        <v>25</v>
      </c>
      <c r="G9" s="22" t="n">
        <f aca="false">_xlfn.MAXIFS('1 · BBDD Casos incluidos'!$AY$2:$AY$29,'1 · BBDD Casos incluidos'!$A$2:$A$29,$A9)</f>
        <v>2</v>
      </c>
      <c r="H9" s="23" t="n">
        <f aca="false">G9/3*100</f>
        <v>66.6666666666667</v>
      </c>
      <c r="I9" s="22" t="n">
        <f aca="false">SUM(B99:D99)</f>
        <v>1</v>
      </c>
      <c r="J9" s="22" t="n">
        <f aca="false">SUM(B123:E123)</f>
        <v>0</v>
      </c>
      <c r="K9" s="22" t="n">
        <f aca="false">SUMIFS('1 · BBDD Casos incluidos'!$BA$2:$BA$29,'1 · BBDD Casos incluidos'!$A$2:$A$29,$A9)</f>
        <v>0</v>
      </c>
      <c r="L9" s="23" t="n">
        <f aca="false">(I9/3+J9/4+IF($B37=0,0,K9/$B37))/3*100</f>
        <v>11.1111111111111</v>
      </c>
      <c r="M9" s="23" t="n">
        <f aca="false">IF(B9&lt;=$C$30,$D$30,IF(B9&lt;=$C$31,$D$31,IF(B9&lt;=$C$32,$D$32,IF(B9&lt;=$C$33,$D$33,$D$34))))</f>
        <v>25</v>
      </c>
      <c r="N9" s="23" t="n">
        <f aca="false">AVERAGE(D9,F9,H9,L9,M9)</f>
        <v>33.5555555555556</v>
      </c>
      <c r="O9" s="22" t="n">
        <f aca="false">SUM(B147:E147)</f>
        <v>2</v>
      </c>
      <c r="P9" s="22" t="n">
        <f aca="false">SUM(B171:E171)</f>
        <v>0</v>
      </c>
      <c r="Q9" s="23" t="n">
        <f aca="false">(IF($B38=0,0,O9/$B38)+IF($B39=0,0,P9/$B39))/2*100</f>
        <v>25</v>
      </c>
      <c r="R9" s="22" t="n">
        <f aca="false">H214</f>
        <v>4</v>
      </c>
      <c r="S9" s="23" t="n">
        <f aca="false">IF($B40=0,0,R9/$B40*100)</f>
        <v>36.3636363636364</v>
      </c>
      <c r="T9" s="23" t="n">
        <f aca="false">AVERAGE(Q9,S9)</f>
        <v>30.6818181818182</v>
      </c>
      <c r="U9" s="22" t="n">
        <f aca="false">ROUND(N9,0)</f>
        <v>34</v>
      </c>
      <c r="V9" s="22" t="n">
        <f aca="false">ROUND(T9,0)</f>
        <v>31</v>
      </c>
      <c r="W9" s="24" t="n">
        <f aca="false">ROUND((U9+V9)/2,0)</f>
        <v>33</v>
      </c>
      <c r="X9" s="23" t="n">
        <f aca="false">(N9+T9)/2</f>
        <v>32.1186868686869</v>
      </c>
    </row>
    <row r="10" customFormat="false" ht="15" hidden="false" customHeight="false" outlineLevel="0" collapsed="false">
      <c r="A10" s="21" t="s">
        <v>332</v>
      </c>
      <c r="B10" s="22" t="n">
        <f aca="false">COUNTIFS('1 · BBDD Casos incluidos'!$A$2:$A$29,$A10,'1 · BBDD Casos incluidos'!$K$2:$K$29,"sí")</f>
        <v>0</v>
      </c>
      <c r="C10" s="22" t="n">
        <f aca="false">SUM(B52:F52)</f>
        <v>0</v>
      </c>
      <c r="D10" s="23" t="n">
        <f aca="false">C10/5*100</f>
        <v>0</v>
      </c>
      <c r="E10" s="22" t="n">
        <f aca="false">SUM(B76:E76)</f>
        <v>0</v>
      </c>
      <c r="F10" s="23" t="n">
        <f aca="false">E10/4*100</f>
        <v>0</v>
      </c>
      <c r="G10" s="22" t="n">
        <f aca="false">_xlfn.MAXIFS('1 · BBDD Casos incluidos'!$AY$2:$AY$29,'1 · BBDD Casos incluidos'!$A$2:$A$29,$A10)</f>
        <v>0</v>
      </c>
      <c r="H10" s="23" t="n">
        <f aca="false">G10/3*100</f>
        <v>0</v>
      </c>
      <c r="I10" s="22" t="n">
        <f aca="false">SUM(B100:D100)</f>
        <v>0</v>
      </c>
      <c r="J10" s="22" t="n">
        <f aca="false">SUM(B124:E124)</f>
        <v>0</v>
      </c>
      <c r="K10" s="22" t="n">
        <f aca="false">SUMIFS('1 · BBDD Casos incluidos'!$BA$2:$BA$29,'1 · BBDD Casos incluidos'!$A$2:$A$29,$A10)</f>
        <v>0</v>
      </c>
      <c r="L10" s="23" t="n">
        <f aca="false">(I10/3+J10/4+IF($B37=0,0,K10/$B37))/3*100</f>
        <v>0</v>
      </c>
      <c r="M10" s="23" t="n">
        <f aca="false">IF(B10&lt;=$C$30,$D$30,IF(B10&lt;=$C$31,$D$31,IF(B10&lt;=$C$32,$D$32,IF(B10&lt;=$C$33,$D$33,$D$34))))</f>
        <v>0</v>
      </c>
      <c r="N10" s="23" t="n">
        <f aca="false">AVERAGE(D10,F10,H10,L10,M10)</f>
        <v>0</v>
      </c>
      <c r="O10" s="22" t="n">
        <f aca="false">SUM(B148:E148)</f>
        <v>0</v>
      </c>
      <c r="P10" s="22" t="n">
        <f aca="false">SUM(B172:E172)</f>
        <v>0</v>
      </c>
      <c r="Q10" s="23" t="n">
        <f aca="false">(IF($B38=0,0,O10/$B38)+IF($B39=0,0,P10/$B39))/2*100</f>
        <v>0</v>
      </c>
      <c r="R10" s="22" t="n">
        <f aca="false">I214</f>
        <v>0</v>
      </c>
      <c r="S10" s="23" t="n">
        <f aca="false">IF($B40=0,0,R10/$B40*100)</f>
        <v>0</v>
      </c>
      <c r="T10" s="23" t="n">
        <f aca="false">AVERAGE(Q10,S10)</f>
        <v>0</v>
      </c>
      <c r="U10" s="22" t="n">
        <f aca="false">ROUND(N10,0)</f>
        <v>0</v>
      </c>
      <c r="V10" s="22" t="n">
        <f aca="false">ROUND(T10,0)</f>
        <v>0</v>
      </c>
      <c r="W10" s="24" t="n">
        <f aca="false">ROUND((U10+V10)/2,0)</f>
        <v>0</v>
      </c>
      <c r="X10" s="23" t="n">
        <f aca="false">(N10+T10)/2</f>
        <v>0</v>
      </c>
    </row>
    <row r="11" customFormat="false" ht="15" hidden="false" customHeight="false" outlineLevel="0" collapsed="false">
      <c r="A11" s="21" t="s">
        <v>236</v>
      </c>
      <c r="B11" s="22" t="n">
        <f aca="false">COUNTIFS('1 · BBDD Casos incluidos'!$A$2:$A$29,$A11,'1 · BBDD Casos incluidos'!$K$2:$K$29,"sí")</f>
        <v>1</v>
      </c>
      <c r="C11" s="22" t="n">
        <f aca="false">SUM(B53:F53)</f>
        <v>1</v>
      </c>
      <c r="D11" s="23" t="n">
        <f aca="false">C11/5*100</f>
        <v>20</v>
      </c>
      <c r="E11" s="22" t="n">
        <f aca="false">SUM(B77:E77)</f>
        <v>1</v>
      </c>
      <c r="F11" s="23" t="n">
        <f aca="false">E11/4*100</f>
        <v>25</v>
      </c>
      <c r="G11" s="22" t="n">
        <f aca="false">_xlfn.MAXIFS('1 · BBDD Casos incluidos'!$AY$2:$AY$29,'1 · BBDD Casos incluidos'!$A$2:$A$29,$A11)</f>
        <v>2</v>
      </c>
      <c r="H11" s="23" t="n">
        <f aca="false">G11/3*100</f>
        <v>66.6666666666667</v>
      </c>
      <c r="I11" s="22" t="n">
        <f aca="false">SUM(B101:D101)</f>
        <v>1</v>
      </c>
      <c r="J11" s="22" t="n">
        <f aca="false">SUM(B125:E125)</f>
        <v>1</v>
      </c>
      <c r="K11" s="22" t="n">
        <f aca="false">SUMIFS('1 · BBDD Casos incluidos'!$BA$2:$BA$29,'1 · BBDD Casos incluidos'!$A$2:$A$29,$A11)</f>
        <v>1</v>
      </c>
      <c r="L11" s="23" t="n">
        <f aca="false">(I11/3+J11/4+IF($B37=0,0,K11/$B37))/3*100</f>
        <v>36.1111111111111</v>
      </c>
      <c r="M11" s="23" t="n">
        <f aca="false">IF(B11&lt;=$C$30,$D$30,IF(B11&lt;=$C$31,$D$31,IF(B11&lt;=$C$32,$D$32,IF(B11&lt;=$C$33,$D$33,$D$34))))</f>
        <v>25</v>
      </c>
      <c r="N11" s="23" t="n">
        <f aca="false">AVERAGE(D11,F11,H11,L11,M11)</f>
        <v>34.5555555555556</v>
      </c>
      <c r="O11" s="22" t="n">
        <f aca="false">SUM(B149:E149)</f>
        <v>1</v>
      </c>
      <c r="P11" s="22" t="n">
        <f aca="false">SUM(B173:E173)</f>
        <v>0</v>
      </c>
      <c r="Q11" s="23" t="n">
        <f aca="false">(IF($B38=0,0,O11/$B38)+IF($B39=0,0,P11/$B39))/2*100</f>
        <v>12.5</v>
      </c>
      <c r="R11" s="22" t="n">
        <f aca="false">J214</f>
        <v>1</v>
      </c>
      <c r="S11" s="23" t="n">
        <f aca="false">IF($B40=0,0,R11/$B40*100)</f>
        <v>9.09090909090909</v>
      </c>
      <c r="T11" s="23" t="n">
        <f aca="false">AVERAGE(Q11,S11)</f>
        <v>10.7954545454545</v>
      </c>
      <c r="U11" s="22" t="n">
        <f aca="false">ROUND(N11,0)</f>
        <v>35</v>
      </c>
      <c r="V11" s="22" t="n">
        <f aca="false">ROUND(T11,0)</f>
        <v>11</v>
      </c>
      <c r="W11" s="24" t="n">
        <f aca="false">ROUND((U11+V11)/2,0)</f>
        <v>23</v>
      </c>
      <c r="X11" s="23" t="n">
        <f aca="false">(N11+T11)/2</f>
        <v>22.6755050505051</v>
      </c>
    </row>
    <row r="12" customFormat="false" ht="15" hidden="false" customHeight="false" outlineLevel="0" collapsed="false">
      <c r="A12" s="21" t="s">
        <v>246</v>
      </c>
      <c r="B12" s="22" t="n">
        <f aca="false">COUNTIFS('1 · BBDD Casos incluidos'!$A$2:$A$29,$A12,'1 · BBDD Casos incluidos'!$K$2:$K$29,"sí")</f>
        <v>1</v>
      </c>
      <c r="C12" s="22" t="n">
        <f aca="false">SUM(B54:F54)</f>
        <v>1</v>
      </c>
      <c r="D12" s="23" t="n">
        <f aca="false">C12/5*100</f>
        <v>20</v>
      </c>
      <c r="E12" s="22" t="n">
        <f aca="false">SUM(B78:E78)</f>
        <v>2</v>
      </c>
      <c r="F12" s="23" t="n">
        <f aca="false">E12/4*100</f>
        <v>50</v>
      </c>
      <c r="G12" s="22" t="n">
        <f aca="false">_xlfn.MAXIFS('1 · BBDD Casos incluidos'!$AY$2:$AY$29,'1 · BBDD Casos incluidos'!$A$2:$A$29,$A12)</f>
        <v>2</v>
      </c>
      <c r="H12" s="23" t="n">
        <f aca="false">G12/3*100</f>
        <v>66.6666666666667</v>
      </c>
      <c r="I12" s="22" t="n">
        <f aca="false">SUM(B102:D102)</f>
        <v>0</v>
      </c>
      <c r="J12" s="22" t="n">
        <f aca="false">SUM(B126:E126)</f>
        <v>2</v>
      </c>
      <c r="K12" s="22" t="n">
        <f aca="false">SUMIFS('1 · BBDD Casos incluidos'!$BA$2:$BA$29,'1 · BBDD Casos incluidos'!$A$2:$A$29,$A12)</f>
        <v>1</v>
      </c>
      <c r="L12" s="23" t="n">
        <f aca="false">(I12/3+J12/4+IF($B37=0,0,K12/$B37))/3*100</f>
        <v>33.3333333333333</v>
      </c>
      <c r="M12" s="23" t="n">
        <f aca="false">IF(B12&lt;=$C$30,$D$30,IF(B12&lt;=$C$31,$D$31,IF(B12&lt;=$C$32,$D$32,IF(B12&lt;=$C$33,$D$33,$D$34))))</f>
        <v>25</v>
      </c>
      <c r="N12" s="23" t="n">
        <f aca="false">AVERAGE(D12,F12,H12,L12,M12)</f>
        <v>39</v>
      </c>
      <c r="O12" s="22" t="n">
        <f aca="false">SUM(B150:E150)</f>
        <v>0</v>
      </c>
      <c r="P12" s="22" t="n">
        <f aca="false">SUM(B174:E174)</f>
        <v>1</v>
      </c>
      <c r="Q12" s="23" t="n">
        <f aca="false">(IF($B38=0,0,O12/$B38)+IF($B39=0,0,P12/$B39))/2*100</f>
        <v>16.6666666666667</v>
      </c>
      <c r="R12" s="22" t="n">
        <f aca="false">K214</f>
        <v>2</v>
      </c>
      <c r="S12" s="23" t="n">
        <f aca="false">IF($B40=0,0,R12/$B40*100)</f>
        <v>18.1818181818182</v>
      </c>
      <c r="T12" s="23" t="n">
        <f aca="false">AVERAGE(Q12,S12)</f>
        <v>17.4242424242424</v>
      </c>
      <c r="U12" s="22" t="n">
        <f aca="false">ROUND(N12,0)</f>
        <v>39</v>
      </c>
      <c r="V12" s="22" t="n">
        <f aca="false">ROUND(T12,0)</f>
        <v>17</v>
      </c>
      <c r="W12" s="24" t="n">
        <f aca="false">ROUND((U12+V12)/2,0)</f>
        <v>28</v>
      </c>
      <c r="X12" s="23" t="n">
        <f aca="false">(N12+T12)/2</f>
        <v>28.2121212121212</v>
      </c>
    </row>
    <row r="13" customFormat="false" ht="15" hidden="false" customHeight="false" outlineLevel="0" collapsed="false">
      <c r="A13" s="21" t="s">
        <v>333</v>
      </c>
      <c r="B13" s="22" t="n">
        <f aca="false">COUNTIFS('1 · BBDD Casos incluidos'!$A$2:$A$29,$A13,'1 · BBDD Casos incluidos'!$K$2:$K$29,"sí")</f>
        <v>0</v>
      </c>
      <c r="C13" s="22" t="n">
        <f aca="false">SUM(B55:F55)</f>
        <v>0</v>
      </c>
      <c r="D13" s="23" t="n">
        <f aca="false">C13/5*100</f>
        <v>0</v>
      </c>
      <c r="E13" s="22" t="n">
        <f aca="false">SUM(B79:E79)</f>
        <v>0</v>
      </c>
      <c r="F13" s="23" t="n">
        <f aca="false">E13/4*100</f>
        <v>0</v>
      </c>
      <c r="G13" s="22" t="n">
        <f aca="false">_xlfn.MAXIFS('1 · BBDD Casos incluidos'!$AY$2:$AY$29,'1 · BBDD Casos incluidos'!$A$2:$A$29,$A13)</f>
        <v>0</v>
      </c>
      <c r="H13" s="23" t="n">
        <f aca="false">G13/3*100</f>
        <v>0</v>
      </c>
      <c r="I13" s="22" t="n">
        <f aca="false">SUM(B103:D103)</f>
        <v>0</v>
      </c>
      <c r="J13" s="22" t="n">
        <f aca="false">SUM(B127:E127)</f>
        <v>0</v>
      </c>
      <c r="K13" s="22" t="n">
        <f aca="false">SUMIFS('1 · BBDD Casos incluidos'!$BA$2:$BA$29,'1 · BBDD Casos incluidos'!$A$2:$A$29,$A13)</f>
        <v>0</v>
      </c>
      <c r="L13" s="23" t="n">
        <f aca="false">(I13/3+J13/4+IF($B37=0,0,K13/$B37))/3*100</f>
        <v>0</v>
      </c>
      <c r="M13" s="23" t="n">
        <f aca="false">IF(B13&lt;=$C$30,$D$30,IF(B13&lt;=$C$31,$D$31,IF(B13&lt;=$C$32,$D$32,IF(B13&lt;=$C$33,$D$33,$D$34))))</f>
        <v>0</v>
      </c>
      <c r="N13" s="23" t="n">
        <f aca="false">AVERAGE(D13,F13,H13,L13,M13)</f>
        <v>0</v>
      </c>
      <c r="O13" s="22" t="n">
        <f aca="false">SUM(B151:E151)</f>
        <v>0</v>
      </c>
      <c r="P13" s="22" t="n">
        <f aca="false">SUM(B175:E175)</f>
        <v>0</v>
      </c>
      <c r="Q13" s="23" t="n">
        <f aca="false">(IF($B38=0,0,O13/$B38)+IF($B39=0,0,P13/$B39))/2*100</f>
        <v>0</v>
      </c>
      <c r="R13" s="22" t="n">
        <f aca="false">L214</f>
        <v>0</v>
      </c>
      <c r="S13" s="23" t="n">
        <f aca="false">IF($B40=0,0,R13/$B40*100)</f>
        <v>0</v>
      </c>
      <c r="T13" s="23" t="n">
        <f aca="false">AVERAGE(Q13,S13)</f>
        <v>0</v>
      </c>
      <c r="U13" s="22" t="n">
        <f aca="false">ROUND(N13,0)</f>
        <v>0</v>
      </c>
      <c r="V13" s="22" t="n">
        <f aca="false">ROUND(T13,0)</f>
        <v>0</v>
      </c>
      <c r="W13" s="24" t="n">
        <f aca="false">ROUND((U13+V13)/2,0)</f>
        <v>0</v>
      </c>
      <c r="X13" s="23" t="n">
        <f aca="false">(N13+T13)/2</f>
        <v>0</v>
      </c>
    </row>
    <row r="14" customFormat="false" ht="15" hidden="false" customHeight="false" outlineLevel="0" collapsed="false">
      <c r="A14" s="21" t="s">
        <v>334</v>
      </c>
      <c r="B14" s="22" t="n">
        <f aca="false">COUNTIFS('1 · BBDD Casos incluidos'!$A$2:$A$29,$A14,'1 · BBDD Casos incluidos'!$K$2:$K$29,"sí")</f>
        <v>0</v>
      </c>
      <c r="C14" s="22" t="n">
        <f aca="false">SUM(B56:F56)</f>
        <v>0</v>
      </c>
      <c r="D14" s="23" t="n">
        <f aca="false">C14/5*100</f>
        <v>0</v>
      </c>
      <c r="E14" s="22" t="n">
        <f aca="false">SUM(B80:E80)</f>
        <v>0</v>
      </c>
      <c r="F14" s="23" t="n">
        <f aca="false">E14/4*100</f>
        <v>0</v>
      </c>
      <c r="G14" s="22" t="n">
        <f aca="false">_xlfn.MAXIFS('1 · BBDD Casos incluidos'!$AY$2:$AY$29,'1 · BBDD Casos incluidos'!$A$2:$A$29,$A14)</f>
        <v>0</v>
      </c>
      <c r="H14" s="23" t="n">
        <f aca="false">G14/3*100</f>
        <v>0</v>
      </c>
      <c r="I14" s="22" t="n">
        <f aca="false">SUM(B104:D104)</f>
        <v>0</v>
      </c>
      <c r="J14" s="22" t="n">
        <f aca="false">SUM(B128:E128)</f>
        <v>0</v>
      </c>
      <c r="K14" s="22" t="n">
        <f aca="false">SUMIFS('1 · BBDD Casos incluidos'!$BA$2:$BA$29,'1 · BBDD Casos incluidos'!$A$2:$A$29,$A14)</f>
        <v>0</v>
      </c>
      <c r="L14" s="23" t="n">
        <f aca="false">(I14/3+J14/4+IF($B37=0,0,K14/$B37))/3*100</f>
        <v>0</v>
      </c>
      <c r="M14" s="23" t="n">
        <f aca="false">IF(B14&lt;=$C$30,$D$30,IF(B14&lt;=$C$31,$D$31,IF(B14&lt;=$C$32,$D$32,IF(B14&lt;=$C$33,$D$33,$D$34))))</f>
        <v>0</v>
      </c>
      <c r="N14" s="23" t="n">
        <f aca="false">AVERAGE(D14,F14,H14,L14,M14)</f>
        <v>0</v>
      </c>
      <c r="O14" s="22" t="n">
        <f aca="false">SUM(B152:E152)</f>
        <v>0</v>
      </c>
      <c r="P14" s="22" t="n">
        <f aca="false">SUM(B176:E176)</f>
        <v>0</v>
      </c>
      <c r="Q14" s="23" t="n">
        <f aca="false">(IF($B38=0,0,O14/$B38)+IF($B39=0,0,P14/$B39))/2*100</f>
        <v>0</v>
      </c>
      <c r="R14" s="22" t="n">
        <f aca="false">M214</f>
        <v>0</v>
      </c>
      <c r="S14" s="23" t="n">
        <f aca="false">IF($B40=0,0,R14/$B40*100)</f>
        <v>0</v>
      </c>
      <c r="T14" s="23" t="n">
        <f aca="false">AVERAGE(Q14,S14)</f>
        <v>0</v>
      </c>
      <c r="U14" s="22" t="n">
        <f aca="false">ROUND(N14,0)</f>
        <v>0</v>
      </c>
      <c r="V14" s="22" t="n">
        <f aca="false">ROUND(T14,0)</f>
        <v>0</v>
      </c>
      <c r="W14" s="24" t="n">
        <f aca="false">ROUND((U14+V14)/2,0)</f>
        <v>0</v>
      </c>
      <c r="X14" s="23" t="n">
        <f aca="false">(N14+T14)/2</f>
        <v>0</v>
      </c>
    </row>
    <row r="15" customFormat="false" ht="15" hidden="false" customHeight="false" outlineLevel="0" collapsed="false">
      <c r="A15" s="21" t="s">
        <v>255</v>
      </c>
      <c r="B15" s="22" t="n">
        <f aca="false">COUNTIFS('1 · BBDD Casos incluidos'!$A$2:$A$29,$A15,'1 · BBDD Casos incluidos'!$K$2:$K$29,"sí")</f>
        <v>1</v>
      </c>
      <c r="C15" s="22" t="n">
        <f aca="false">SUM(B57:F57)</f>
        <v>1</v>
      </c>
      <c r="D15" s="23" t="n">
        <f aca="false">C15/5*100</f>
        <v>20</v>
      </c>
      <c r="E15" s="22" t="n">
        <f aca="false">SUM(B81:E81)</f>
        <v>1</v>
      </c>
      <c r="F15" s="23" t="n">
        <f aca="false">E15/4*100</f>
        <v>25</v>
      </c>
      <c r="G15" s="22" t="n">
        <f aca="false">_xlfn.MAXIFS('1 · BBDD Casos incluidos'!$AY$2:$AY$29,'1 · BBDD Casos incluidos'!$A$2:$A$29,$A15)</f>
        <v>2</v>
      </c>
      <c r="H15" s="23" t="n">
        <f aca="false">G15/3*100</f>
        <v>66.6666666666667</v>
      </c>
      <c r="I15" s="22" t="n">
        <f aca="false">SUM(B105:D105)</f>
        <v>1</v>
      </c>
      <c r="J15" s="22" t="n">
        <f aca="false">SUM(B129:E129)</f>
        <v>0</v>
      </c>
      <c r="K15" s="22" t="n">
        <f aca="false">SUMIFS('1 · BBDD Casos incluidos'!$BA$2:$BA$29,'1 · BBDD Casos incluidos'!$A$2:$A$29,$A15)</f>
        <v>0</v>
      </c>
      <c r="L15" s="23" t="n">
        <f aca="false">(I15/3+J15/4+IF($B37=0,0,K15/$B37))/3*100</f>
        <v>11.1111111111111</v>
      </c>
      <c r="M15" s="23" t="n">
        <f aca="false">IF(B15&lt;=$C$30,$D$30,IF(B15&lt;=$C$31,$D$31,IF(B15&lt;=$C$32,$D$32,IF(B15&lt;=$C$33,$D$33,$D$34))))</f>
        <v>25</v>
      </c>
      <c r="N15" s="23" t="n">
        <f aca="false">AVERAGE(D15,F15,H15,L15,M15)</f>
        <v>29.5555555555556</v>
      </c>
      <c r="O15" s="22" t="n">
        <f aca="false">SUM(B153:E153)</f>
        <v>1</v>
      </c>
      <c r="P15" s="22" t="n">
        <f aca="false">SUM(B177:E177)</f>
        <v>0</v>
      </c>
      <c r="Q15" s="23" t="n">
        <f aca="false">(IF($B38=0,0,O15/$B38)+IF($B39=0,0,P15/$B39))/2*100</f>
        <v>12.5</v>
      </c>
      <c r="R15" s="22" t="n">
        <f aca="false">N214</f>
        <v>2</v>
      </c>
      <c r="S15" s="23" t="n">
        <f aca="false">IF($B40=0,0,R15/$B40*100)</f>
        <v>18.1818181818182</v>
      </c>
      <c r="T15" s="23" t="n">
        <f aca="false">AVERAGE(Q15,S15)</f>
        <v>15.3409090909091</v>
      </c>
      <c r="U15" s="22" t="n">
        <f aca="false">ROUND(N15,0)</f>
        <v>30</v>
      </c>
      <c r="V15" s="22" t="n">
        <f aca="false">ROUND(T15,0)</f>
        <v>15</v>
      </c>
      <c r="W15" s="24" t="n">
        <f aca="false">ROUND((U15+V15)/2,0)</f>
        <v>23</v>
      </c>
      <c r="X15" s="23" t="n">
        <f aca="false">(N15+T15)/2</f>
        <v>22.4482323232323</v>
      </c>
    </row>
    <row r="16" customFormat="false" ht="15" hidden="false" customHeight="false" outlineLevel="0" collapsed="false">
      <c r="A16" s="21" t="s">
        <v>263</v>
      </c>
      <c r="B16" s="22" t="n">
        <f aca="false">COUNTIFS('1 · BBDD Casos incluidos'!$A$2:$A$29,$A16,'1 · BBDD Casos incluidos'!$K$2:$K$29,"sí")</f>
        <v>1</v>
      </c>
      <c r="C16" s="22" t="n">
        <f aca="false">SUM(B58:F58)</f>
        <v>1</v>
      </c>
      <c r="D16" s="23" t="n">
        <f aca="false">C16/5*100</f>
        <v>20</v>
      </c>
      <c r="E16" s="22" t="n">
        <f aca="false">SUM(B82:E82)</f>
        <v>1</v>
      </c>
      <c r="F16" s="23" t="n">
        <f aca="false">E16/4*100</f>
        <v>25</v>
      </c>
      <c r="G16" s="22" t="n">
        <f aca="false">_xlfn.MAXIFS('1 · BBDD Casos incluidos'!$AY$2:$AY$29,'1 · BBDD Casos incluidos'!$A$2:$A$29,$A16)</f>
        <v>2</v>
      </c>
      <c r="H16" s="23" t="n">
        <f aca="false">G16/3*100</f>
        <v>66.6666666666667</v>
      </c>
      <c r="I16" s="22" t="n">
        <f aca="false">SUM(B106:D106)</f>
        <v>1</v>
      </c>
      <c r="J16" s="22" t="n">
        <f aca="false">SUM(B130:E130)</f>
        <v>1</v>
      </c>
      <c r="K16" s="22" t="n">
        <f aca="false">SUMIFS('1 · BBDD Casos incluidos'!$BA$2:$BA$29,'1 · BBDD Casos incluidos'!$A$2:$A$29,$A16)</f>
        <v>1</v>
      </c>
      <c r="L16" s="23" t="n">
        <f aca="false">(I16/3+J16/4+IF($B37=0,0,K16/$B37))/3*100</f>
        <v>36.1111111111111</v>
      </c>
      <c r="M16" s="23" t="n">
        <f aca="false">IF(B16&lt;=$C$30,$D$30,IF(B16&lt;=$C$31,$D$31,IF(B16&lt;=$C$32,$D$32,IF(B16&lt;=$C$33,$D$33,$D$34))))</f>
        <v>25</v>
      </c>
      <c r="N16" s="23" t="n">
        <f aca="false">AVERAGE(D16,F16,H16,L16,M16)</f>
        <v>34.5555555555556</v>
      </c>
      <c r="O16" s="22" t="n">
        <f aca="false">SUM(B154:E154)</f>
        <v>1</v>
      </c>
      <c r="P16" s="22" t="n">
        <f aca="false">SUM(B178:E178)</f>
        <v>0</v>
      </c>
      <c r="Q16" s="23" t="n">
        <f aca="false">(IF($B38=0,0,O16/$B38)+IF($B39=0,0,P16/$B39))/2*100</f>
        <v>12.5</v>
      </c>
      <c r="R16" s="22" t="n">
        <f aca="false">O214</f>
        <v>0</v>
      </c>
      <c r="S16" s="23" t="n">
        <f aca="false">IF($B40=0,0,R16/$B40*100)</f>
        <v>0</v>
      </c>
      <c r="T16" s="23" t="n">
        <f aca="false">AVERAGE(Q16,S16)</f>
        <v>6.25</v>
      </c>
      <c r="U16" s="22" t="n">
        <f aca="false">ROUND(N16,0)</f>
        <v>35</v>
      </c>
      <c r="V16" s="22" t="n">
        <f aca="false">ROUND(T16,0)</f>
        <v>6</v>
      </c>
      <c r="W16" s="24" t="n">
        <f aca="false">ROUND((U16+V16)/2,0)</f>
        <v>21</v>
      </c>
      <c r="X16" s="23" t="n">
        <f aca="false">(N16+T16)/2</f>
        <v>20.4027777777778</v>
      </c>
    </row>
    <row r="17" customFormat="false" ht="15" hidden="false" customHeight="false" outlineLevel="0" collapsed="false">
      <c r="A17" s="21" t="s">
        <v>274</v>
      </c>
      <c r="B17" s="22" t="n">
        <f aca="false">COUNTIFS('1 · BBDD Casos incluidos'!$A$2:$A$29,$A17,'1 · BBDD Casos incluidos'!$K$2:$K$29,"sí")</f>
        <v>1</v>
      </c>
      <c r="C17" s="22" t="n">
        <f aca="false">SUM(B59:F59)</f>
        <v>1</v>
      </c>
      <c r="D17" s="23" t="n">
        <f aca="false">C17/5*100</f>
        <v>20</v>
      </c>
      <c r="E17" s="22" t="n">
        <f aca="false">SUM(B83:E83)</f>
        <v>1</v>
      </c>
      <c r="F17" s="23" t="n">
        <f aca="false">E17/4*100</f>
        <v>25</v>
      </c>
      <c r="G17" s="22" t="n">
        <f aca="false">_xlfn.MAXIFS('1 · BBDD Casos incluidos'!$AY$2:$AY$29,'1 · BBDD Casos incluidos'!$A$2:$A$29,$A17)</f>
        <v>2</v>
      </c>
      <c r="H17" s="23" t="n">
        <f aca="false">G17/3*100</f>
        <v>66.6666666666667</v>
      </c>
      <c r="I17" s="22" t="n">
        <f aca="false">SUM(B107:D107)</f>
        <v>1</v>
      </c>
      <c r="J17" s="22" t="n">
        <f aca="false">SUM(B131:E131)</f>
        <v>0</v>
      </c>
      <c r="K17" s="22" t="n">
        <f aca="false">SUMIFS('1 · BBDD Casos incluidos'!$BA$2:$BA$29,'1 · BBDD Casos incluidos'!$A$2:$A$29,$A17)</f>
        <v>0</v>
      </c>
      <c r="L17" s="23" t="n">
        <f aca="false">(I17/3+J17/4+IF($B37=0,0,K17/$B37))/3*100</f>
        <v>11.1111111111111</v>
      </c>
      <c r="M17" s="23" t="n">
        <f aca="false">IF(B17&lt;=$C$30,$D$30,IF(B17&lt;=$C$31,$D$31,IF(B17&lt;=$C$32,$D$32,IF(B17&lt;=$C$33,$D$33,$D$34))))</f>
        <v>25</v>
      </c>
      <c r="N17" s="23" t="n">
        <f aca="false">AVERAGE(D17,F17,H17,L17,M17)</f>
        <v>29.5555555555556</v>
      </c>
      <c r="O17" s="22" t="n">
        <f aca="false">SUM(B155:E155)</f>
        <v>0</v>
      </c>
      <c r="P17" s="22" t="n">
        <f aca="false">SUM(B179:E179)</f>
        <v>1</v>
      </c>
      <c r="Q17" s="23" t="n">
        <f aca="false">(IF($B38=0,0,O17/$B38)+IF($B39=0,0,P17/$B39))/2*100</f>
        <v>16.6666666666667</v>
      </c>
      <c r="R17" s="22" t="n">
        <f aca="false">P214</f>
        <v>2</v>
      </c>
      <c r="S17" s="23" t="n">
        <f aca="false">IF($B40=0,0,R17/$B40*100)</f>
        <v>18.1818181818182</v>
      </c>
      <c r="T17" s="23" t="n">
        <f aca="false">AVERAGE(Q17,S17)</f>
        <v>17.4242424242424</v>
      </c>
      <c r="U17" s="22" t="n">
        <f aca="false">ROUND(N17,0)</f>
        <v>30</v>
      </c>
      <c r="V17" s="22" t="n">
        <f aca="false">ROUND(T17,0)</f>
        <v>17</v>
      </c>
      <c r="W17" s="24" t="n">
        <f aca="false">ROUND((U17+V17)/2,0)</f>
        <v>24</v>
      </c>
      <c r="X17" s="23" t="n">
        <f aca="false">(N17+T17)/2</f>
        <v>23.489898989899</v>
      </c>
    </row>
    <row r="18" customFormat="false" ht="15" hidden="false" customHeight="false" outlineLevel="0" collapsed="false">
      <c r="A18" s="21" t="s">
        <v>335</v>
      </c>
      <c r="B18" s="22" t="n">
        <f aca="false">COUNTIFS('1 · BBDD Casos incluidos'!$A$2:$A$29,$A18,'1 · BBDD Casos incluidos'!$K$2:$K$29,"sí")</f>
        <v>0</v>
      </c>
      <c r="C18" s="22" t="n">
        <f aca="false">SUM(B60:F60)</f>
        <v>0</v>
      </c>
      <c r="D18" s="23" t="n">
        <f aca="false">C18/5*100</f>
        <v>0</v>
      </c>
      <c r="E18" s="22" t="n">
        <f aca="false">SUM(B84:E84)</f>
        <v>0</v>
      </c>
      <c r="F18" s="23" t="n">
        <f aca="false">E18/4*100</f>
        <v>0</v>
      </c>
      <c r="G18" s="22" t="n">
        <f aca="false">_xlfn.MAXIFS('1 · BBDD Casos incluidos'!$AY$2:$AY$29,'1 · BBDD Casos incluidos'!$A$2:$A$29,$A18)</f>
        <v>0</v>
      </c>
      <c r="H18" s="23" t="n">
        <f aca="false">G18/3*100</f>
        <v>0</v>
      </c>
      <c r="I18" s="22" t="n">
        <f aca="false">SUM(B108:D108)</f>
        <v>0</v>
      </c>
      <c r="J18" s="22" t="n">
        <f aca="false">SUM(B132:E132)</f>
        <v>0</v>
      </c>
      <c r="K18" s="22" t="n">
        <f aca="false">SUMIFS('1 · BBDD Casos incluidos'!$BA$2:$BA$29,'1 · BBDD Casos incluidos'!$A$2:$A$29,$A18)</f>
        <v>0</v>
      </c>
      <c r="L18" s="23" t="n">
        <f aca="false">(I18/3+J18/4+IF($B37=0,0,K18/$B37))/3*100</f>
        <v>0</v>
      </c>
      <c r="M18" s="23" t="n">
        <f aca="false">IF(B18&lt;=$C$30,$D$30,IF(B18&lt;=$C$31,$D$31,IF(B18&lt;=$C$32,$D$32,IF(B18&lt;=$C$33,$D$33,$D$34))))</f>
        <v>0</v>
      </c>
      <c r="N18" s="23" t="n">
        <f aca="false">AVERAGE(D18,F18,H18,L18,M18)</f>
        <v>0</v>
      </c>
      <c r="O18" s="22" t="n">
        <f aca="false">SUM(B156:E156)</f>
        <v>0</v>
      </c>
      <c r="P18" s="22" t="n">
        <f aca="false">SUM(B180:E180)</f>
        <v>0</v>
      </c>
      <c r="Q18" s="23" t="n">
        <f aca="false">(IF($B38=0,0,O18/$B38)+IF($B39=0,0,P18/$B39))/2*100</f>
        <v>0</v>
      </c>
      <c r="R18" s="22" t="n">
        <f aca="false">Q214</f>
        <v>0</v>
      </c>
      <c r="S18" s="23" t="n">
        <f aca="false">IF($B40=0,0,R18/$B40*100)</f>
        <v>0</v>
      </c>
      <c r="T18" s="23" t="n">
        <f aca="false">AVERAGE(Q18,S18)</f>
        <v>0</v>
      </c>
      <c r="U18" s="22" t="n">
        <f aca="false">ROUND(N18,0)</f>
        <v>0</v>
      </c>
      <c r="V18" s="22" t="n">
        <f aca="false">ROUND(T18,0)</f>
        <v>0</v>
      </c>
      <c r="W18" s="24" t="n">
        <f aca="false">ROUND((U18+V18)/2,0)</f>
        <v>0</v>
      </c>
      <c r="X18" s="23" t="n">
        <f aca="false">(N18+T18)/2</f>
        <v>0</v>
      </c>
    </row>
    <row r="19" customFormat="false" ht="15" hidden="false" customHeight="false" outlineLevel="0" collapsed="false">
      <c r="A19" s="21" t="s">
        <v>336</v>
      </c>
      <c r="B19" s="22" t="n">
        <f aca="false">COUNTIFS('1 · BBDD Casos incluidos'!$A$2:$A$29,$A19,'1 · BBDD Casos incluidos'!$K$2:$K$29,"sí")</f>
        <v>0</v>
      </c>
      <c r="C19" s="22" t="n">
        <f aca="false">SUM(B61:F61)</f>
        <v>0</v>
      </c>
      <c r="D19" s="23" t="n">
        <f aca="false">C19/5*100</f>
        <v>0</v>
      </c>
      <c r="E19" s="22" t="n">
        <f aca="false">SUM(B85:E85)</f>
        <v>0</v>
      </c>
      <c r="F19" s="23" t="n">
        <f aca="false">E19/4*100</f>
        <v>0</v>
      </c>
      <c r="G19" s="22" t="n">
        <f aca="false">_xlfn.MAXIFS('1 · BBDD Casos incluidos'!$AY$2:$AY$29,'1 · BBDD Casos incluidos'!$A$2:$A$29,$A19)</f>
        <v>0</v>
      </c>
      <c r="H19" s="23" t="n">
        <f aca="false">G19/3*100</f>
        <v>0</v>
      </c>
      <c r="I19" s="22" t="n">
        <f aca="false">SUM(B109:D109)</f>
        <v>0</v>
      </c>
      <c r="J19" s="22" t="n">
        <f aca="false">SUM(B133:E133)</f>
        <v>0</v>
      </c>
      <c r="K19" s="22" t="n">
        <f aca="false">SUMIFS('1 · BBDD Casos incluidos'!$BA$2:$BA$29,'1 · BBDD Casos incluidos'!$A$2:$A$29,$A19)</f>
        <v>0</v>
      </c>
      <c r="L19" s="23" t="n">
        <f aca="false">(I19/3+J19/4+IF($B37=0,0,K19/$B37))/3*100</f>
        <v>0</v>
      </c>
      <c r="M19" s="23" t="n">
        <f aca="false">IF(B19&lt;=$C$30,$D$30,IF(B19&lt;=$C$31,$D$31,IF(B19&lt;=$C$32,$D$32,IF(B19&lt;=$C$33,$D$33,$D$34))))</f>
        <v>0</v>
      </c>
      <c r="N19" s="23" t="n">
        <f aca="false">AVERAGE(D19,F19,H19,L19,M19)</f>
        <v>0</v>
      </c>
      <c r="O19" s="22" t="n">
        <f aca="false">SUM(B157:E157)</f>
        <v>0</v>
      </c>
      <c r="P19" s="22" t="n">
        <f aca="false">SUM(B181:E181)</f>
        <v>0</v>
      </c>
      <c r="Q19" s="23" t="n">
        <f aca="false">(IF($B38=0,0,O19/$B38)+IF($B39=0,0,P19/$B39))/2*100</f>
        <v>0</v>
      </c>
      <c r="R19" s="22" t="n">
        <f aca="false">R214</f>
        <v>0</v>
      </c>
      <c r="S19" s="23" t="n">
        <f aca="false">IF($B40=0,0,R19/$B40*100)</f>
        <v>0</v>
      </c>
      <c r="T19" s="23" t="n">
        <f aca="false">AVERAGE(Q19,S19)</f>
        <v>0</v>
      </c>
      <c r="U19" s="22" t="n">
        <f aca="false">ROUND(N19,0)</f>
        <v>0</v>
      </c>
      <c r="V19" s="22" t="n">
        <f aca="false">ROUND(T19,0)</f>
        <v>0</v>
      </c>
      <c r="W19" s="24" t="n">
        <f aca="false">ROUND((U19+V19)/2,0)</f>
        <v>0</v>
      </c>
      <c r="X19" s="23" t="n">
        <f aca="false">(N19+T19)/2</f>
        <v>0</v>
      </c>
    </row>
    <row r="20" customFormat="false" ht="15" hidden="false" customHeight="false" outlineLevel="0" collapsed="false">
      <c r="A20" s="21" t="s">
        <v>337</v>
      </c>
      <c r="B20" s="22" t="n">
        <f aca="false">COUNTIFS('1 · BBDD Casos incluidos'!$A$2:$A$29,$A20,'1 · BBDD Casos incluidos'!$K$2:$K$29,"sí")</f>
        <v>0</v>
      </c>
      <c r="C20" s="22" t="n">
        <f aca="false">SUM(B62:F62)</f>
        <v>0</v>
      </c>
      <c r="D20" s="23" t="n">
        <f aca="false">C20/5*100</f>
        <v>0</v>
      </c>
      <c r="E20" s="22" t="n">
        <f aca="false">SUM(B86:E86)</f>
        <v>0</v>
      </c>
      <c r="F20" s="23" t="n">
        <f aca="false">E20/4*100</f>
        <v>0</v>
      </c>
      <c r="G20" s="22" t="n">
        <f aca="false">_xlfn.MAXIFS('1 · BBDD Casos incluidos'!$AY$2:$AY$29,'1 · BBDD Casos incluidos'!$A$2:$A$29,$A20)</f>
        <v>0</v>
      </c>
      <c r="H20" s="23" t="n">
        <f aca="false">G20/3*100</f>
        <v>0</v>
      </c>
      <c r="I20" s="22" t="n">
        <f aca="false">SUM(B110:D110)</f>
        <v>0</v>
      </c>
      <c r="J20" s="22" t="n">
        <f aca="false">SUM(B134:E134)</f>
        <v>0</v>
      </c>
      <c r="K20" s="22" t="n">
        <f aca="false">SUMIFS('1 · BBDD Casos incluidos'!$BA$2:$BA$29,'1 · BBDD Casos incluidos'!$A$2:$A$29,$A20)</f>
        <v>0</v>
      </c>
      <c r="L20" s="23" t="n">
        <f aca="false">(I20/3+J20/4+IF($B37=0,0,K20/$B37))/3*100</f>
        <v>0</v>
      </c>
      <c r="M20" s="23" t="n">
        <f aca="false">IF(B20&lt;=$C$30,$D$30,IF(B20&lt;=$C$31,$D$31,IF(B20&lt;=$C$32,$D$32,IF(B20&lt;=$C$33,$D$33,$D$34))))</f>
        <v>0</v>
      </c>
      <c r="N20" s="23" t="n">
        <f aca="false">AVERAGE(D20,F20,H20,L20,M20)</f>
        <v>0</v>
      </c>
      <c r="O20" s="22" t="n">
        <f aca="false">SUM(B158:E158)</f>
        <v>0</v>
      </c>
      <c r="P20" s="22" t="n">
        <f aca="false">SUM(B182:E182)</f>
        <v>0</v>
      </c>
      <c r="Q20" s="23" t="n">
        <f aca="false">(IF($B38=0,0,O20/$B38)+IF($B39=0,0,P20/$B39))/2*100</f>
        <v>0</v>
      </c>
      <c r="R20" s="22" t="n">
        <f aca="false">S214</f>
        <v>0</v>
      </c>
      <c r="S20" s="23" t="n">
        <f aca="false">IF($B40=0,0,R20/$B40*100)</f>
        <v>0</v>
      </c>
      <c r="T20" s="23" t="n">
        <f aca="false">AVERAGE(Q20,S20)</f>
        <v>0</v>
      </c>
      <c r="U20" s="22" t="n">
        <f aca="false">ROUND(N20,0)</f>
        <v>0</v>
      </c>
      <c r="V20" s="22" t="n">
        <f aca="false">ROUND(T20,0)</f>
        <v>0</v>
      </c>
      <c r="W20" s="24" t="n">
        <f aca="false">ROUND((U20+V20)/2,0)</f>
        <v>0</v>
      </c>
      <c r="X20" s="23" t="n">
        <f aca="false">(N20+T20)/2</f>
        <v>0</v>
      </c>
    </row>
    <row r="21" customFormat="false" ht="15" hidden="false" customHeight="false" outlineLevel="0" collapsed="false">
      <c r="A21" s="21" t="s">
        <v>281</v>
      </c>
      <c r="B21" s="22" t="n">
        <f aca="false">COUNTIFS('1 · BBDD Casos incluidos'!$A$2:$A$29,$A21,'1 · BBDD Casos incluidos'!$K$2:$K$29,"sí")</f>
        <v>1</v>
      </c>
      <c r="C21" s="22" t="n">
        <f aca="false">SUM(B63:F63)</f>
        <v>1</v>
      </c>
      <c r="D21" s="23" t="n">
        <f aca="false">C21/5*100</f>
        <v>20</v>
      </c>
      <c r="E21" s="22" t="n">
        <f aca="false">SUM(B87:E87)</f>
        <v>1</v>
      </c>
      <c r="F21" s="23" t="n">
        <f aca="false">E21/4*100</f>
        <v>25</v>
      </c>
      <c r="G21" s="22" t="n">
        <f aca="false">_xlfn.MAXIFS('1 · BBDD Casos incluidos'!$AY$2:$AY$29,'1 · BBDD Casos incluidos'!$A$2:$A$29,$A21)</f>
        <v>2</v>
      </c>
      <c r="H21" s="23" t="n">
        <f aca="false">G21/3*100</f>
        <v>66.6666666666667</v>
      </c>
      <c r="I21" s="22" t="n">
        <f aca="false">SUM(B111:D111)</f>
        <v>0</v>
      </c>
      <c r="J21" s="22" t="n">
        <f aca="false">SUM(B135:E135)</f>
        <v>1</v>
      </c>
      <c r="K21" s="22" t="n">
        <f aca="false">SUMIFS('1 · BBDD Casos incluidos'!$BA$2:$BA$29,'1 · BBDD Casos incluidos'!$A$2:$A$29,$A21)</f>
        <v>0</v>
      </c>
      <c r="L21" s="23" t="n">
        <f aca="false">(I21/3+J21/4+IF($B37=0,0,K21/$B37))/3*100</f>
        <v>8.33333333333333</v>
      </c>
      <c r="M21" s="23" t="n">
        <f aca="false">IF(B21&lt;=$C$30,$D$30,IF(B21&lt;=$C$31,$D$31,IF(B21&lt;=$C$32,$D$32,IF(B21&lt;=$C$33,$D$33,$D$34))))</f>
        <v>25</v>
      </c>
      <c r="N21" s="23" t="n">
        <f aca="false">AVERAGE(D21,F21,H21,L21,M21)</f>
        <v>29</v>
      </c>
      <c r="O21" s="22" t="n">
        <f aca="false">SUM(B159:E159)</f>
        <v>0</v>
      </c>
      <c r="P21" s="22" t="n">
        <f aca="false">SUM(B183:E183)</f>
        <v>1</v>
      </c>
      <c r="Q21" s="23" t="n">
        <f aca="false">(IF($B38=0,0,O21/$B38)+IF($B39=0,0,P21/$B39))/2*100</f>
        <v>16.6666666666667</v>
      </c>
      <c r="R21" s="22" t="n">
        <f aca="false">T214</f>
        <v>2</v>
      </c>
      <c r="S21" s="23" t="n">
        <f aca="false">IF($B40=0,0,R21/$B40*100)</f>
        <v>18.1818181818182</v>
      </c>
      <c r="T21" s="23" t="n">
        <f aca="false">AVERAGE(Q21,S21)</f>
        <v>17.4242424242424</v>
      </c>
      <c r="U21" s="22" t="n">
        <f aca="false">ROUND(N21,0)</f>
        <v>29</v>
      </c>
      <c r="V21" s="22" t="n">
        <f aca="false">ROUND(T21,0)</f>
        <v>17</v>
      </c>
      <c r="W21" s="24" t="n">
        <f aca="false">ROUND((U21+V21)/2,0)</f>
        <v>23</v>
      </c>
      <c r="X21" s="23" t="n">
        <f aca="false">(N21+T21)/2</f>
        <v>23.2121212121212</v>
      </c>
    </row>
    <row r="22" customFormat="false" ht="15" hidden="false" customHeight="false" outlineLevel="0" collapsed="false">
      <c r="A22" s="21" t="s">
        <v>289</v>
      </c>
      <c r="B22" s="22" t="n">
        <f aca="false">COUNTIFS('1 · BBDD Casos incluidos'!$A$2:$A$29,$A22,'1 · BBDD Casos incluidos'!$K$2:$K$29,"sí")</f>
        <v>1</v>
      </c>
      <c r="C22" s="22" t="n">
        <f aca="false">SUM(B64:F64)</f>
        <v>1</v>
      </c>
      <c r="D22" s="23" t="n">
        <f aca="false">C22/5*100</f>
        <v>20</v>
      </c>
      <c r="E22" s="22" t="n">
        <f aca="false">SUM(B88:E88)</f>
        <v>1</v>
      </c>
      <c r="F22" s="23" t="n">
        <f aca="false">E22/4*100</f>
        <v>25</v>
      </c>
      <c r="G22" s="22" t="n">
        <f aca="false">_xlfn.MAXIFS('1 · BBDD Casos incluidos'!$AY$2:$AY$29,'1 · BBDD Casos incluidos'!$A$2:$A$29,$A22)</f>
        <v>1</v>
      </c>
      <c r="H22" s="23" t="n">
        <f aca="false">G22/3*100</f>
        <v>33.3333333333333</v>
      </c>
      <c r="I22" s="22" t="n">
        <f aca="false">SUM(B112:D112)</f>
        <v>1</v>
      </c>
      <c r="J22" s="22" t="n">
        <f aca="false">SUM(B136:E136)</f>
        <v>0</v>
      </c>
      <c r="K22" s="22" t="n">
        <f aca="false">SUMIFS('1 · BBDD Casos incluidos'!$BA$2:$BA$29,'1 · BBDD Casos incluidos'!$A$2:$A$29,$A22)</f>
        <v>0</v>
      </c>
      <c r="L22" s="23" t="n">
        <f aca="false">(I22/3+J22/4+IF($B37=0,0,K22/$B37))/3*100</f>
        <v>11.1111111111111</v>
      </c>
      <c r="M22" s="23" t="n">
        <f aca="false">IF(B22&lt;=$C$30,$D$30,IF(B22&lt;=$C$31,$D$31,IF(B22&lt;=$C$32,$D$32,IF(B22&lt;=$C$33,$D$33,$D$34))))</f>
        <v>25</v>
      </c>
      <c r="N22" s="23" t="n">
        <f aca="false">AVERAGE(D22,F22,H22,L22,M22)</f>
        <v>22.8888888888889</v>
      </c>
      <c r="O22" s="22" t="n">
        <f aca="false">SUM(B160:E160)</f>
        <v>1</v>
      </c>
      <c r="P22" s="22" t="n">
        <f aca="false">SUM(B184:E184)</f>
        <v>0</v>
      </c>
      <c r="Q22" s="23" t="n">
        <f aca="false">(IF($B38=0,0,O22/$B38)+IF($B39=0,0,P22/$B39))/2*100</f>
        <v>12.5</v>
      </c>
      <c r="R22" s="22" t="n">
        <f aca="false">U214</f>
        <v>1</v>
      </c>
      <c r="S22" s="23" t="n">
        <f aca="false">IF($B40=0,0,R22/$B40*100)</f>
        <v>9.09090909090909</v>
      </c>
      <c r="T22" s="23" t="n">
        <f aca="false">AVERAGE(Q22,S22)</f>
        <v>10.7954545454545</v>
      </c>
      <c r="U22" s="22" t="n">
        <f aca="false">ROUND(N22,0)</f>
        <v>23</v>
      </c>
      <c r="V22" s="22" t="n">
        <f aca="false">ROUND(T22,0)</f>
        <v>11</v>
      </c>
      <c r="W22" s="24" t="n">
        <f aca="false">ROUND((U22+V22)/2,0)</f>
        <v>17</v>
      </c>
      <c r="X22" s="23" t="n">
        <f aca="false">(N22+T22)/2</f>
        <v>16.8421717171717</v>
      </c>
    </row>
    <row r="24" customFormat="false" ht="15" hidden="false" customHeight="false" outlineLevel="0" collapsed="false">
      <c r="A24" s="25" t="s">
        <v>338</v>
      </c>
    </row>
    <row r="25" customFormat="false" ht="15" hidden="false" customHeight="false" outlineLevel="0" collapsed="false">
      <c r="A25" s="26" t="s">
        <v>339</v>
      </c>
      <c r="B25" s="27" t="n">
        <v>2026</v>
      </c>
    </row>
    <row r="26" customFormat="false" ht="15" hidden="false" customHeight="false" outlineLevel="0" collapsed="false">
      <c r="A26" s="26" t="s">
        <v>340</v>
      </c>
      <c r="B26" s="27" t="n">
        <v>2</v>
      </c>
    </row>
    <row r="28" customFormat="false" ht="15" hidden="false" customHeight="false" outlineLevel="0" collapsed="false">
      <c r="A28" s="28" t="s">
        <v>341</v>
      </c>
    </row>
    <row r="29" customFormat="false" ht="15" hidden="false" customHeight="false" outlineLevel="0" collapsed="false">
      <c r="A29" s="29" t="s">
        <v>342</v>
      </c>
      <c r="B29" s="29" t="s">
        <v>343</v>
      </c>
      <c r="C29" s="29" t="s">
        <v>344</v>
      </c>
      <c r="D29" s="29" t="s">
        <v>345</v>
      </c>
    </row>
    <row r="30" customFormat="false" ht="15" hidden="false" customHeight="false" outlineLevel="0" collapsed="false">
      <c r="A30" s="30" t="n">
        <v>0</v>
      </c>
      <c r="B30" s="30" t="n">
        <v>0</v>
      </c>
      <c r="C30" s="30" t="n">
        <v>0</v>
      </c>
      <c r="D30" s="30" t="n">
        <v>0</v>
      </c>
    </row>
    <row r="31" customFormat="false" ht="15" hidden="false" customHeight="false" outlineLevel="0" collapsed="false">
      <c r="A31" s="30" t="n">
        <v>1</v>
      </c>
      <c r="B31" s="30" t="n">
        <v>1</v>
      </c>
      <c r="C31" s="30" t="n">
        <v>3</v>
      </c>
      <c r="D31" s="30" t="n">
        <v>25</v>
      </c>
    </row>
    <row r="32" customFormat="false" ht="15" hidden="false" customHeight="false" outlineLevel="0" collapsed="false">
      <c r="A32" s="30" t="n">
        <v>2</v>
      </c>
      <c r="B32" s="30" t="n">
        <v>4</v>
      </c>
      <c r="C32" s="30" t="n">
        <v>6</v>
      </c>
      <c r="D32" s="30" t="n">
        <v>50</v>
      </c>
    </row>
    <row r="33" customFormat="false" ht="15" hidden="false" customHeight="false" outlineLevel="0" collapsed="false">
      <c r="A33" s="30" t="n">
        <v>3</v>
      </c>
      <c r="B33" s="30" t="n">
        <v>7</v>
      </c>
      <c r="C33" s="30" t="n">
        <v>9</v>
      </c>
      <c r="D33" s="30" t="n">
        <v>75</v>
      </c>
    </row>
    <row r="34" customFormat="false" ht="15" hidden="false" customHeight="false" outlineLevel="0" collapsed="false">
      <c r="A34" s="30" t="n">
        <v>4</v>
      </c>
      <c r="B34" s="30" t="n">
        <v>10</v>
      </c>
      <c r="C34" s="30" t="s">
        <v>346</v>
      </c>
      <c r="D34" s="30" t="n">
        <v>100</v>
      </c>
    </row>
    <row r="36" customFormat="false" ht="15" hidden="false" customHeight="false" outlineLevel="0" collapsed="false">
      <c r="A36" s="28" t="s">
        <v>347</v>
      </c>
    </row>
    <row r="37" customFormat="false" ht="15" hidden="false" customHeight="false" outlineLevel="0" collapsed="false">
      <c r="A37" s="26" t="s">
        <v>348</v>
      </c>
      <c r="B37" s="31" t="n">
        <f aca="false">MAX(K3:K22)</f>
        <v>2</v>
      </c>
    </row>
    <row r="38" customFormat="false" ht="15" hidden="false" customHeight="false" outlineLevel="0" collapsed="false">
      <c r="A38" s="26" t="s">
        <v>349</v>
      </c>
      <c r="B38" s="31" t="n">
        <f aca="false">MAX(O3:O22)</f>
        <v>4</v>
      </c>
    </row>
    <row r="39" customFormat="false" ht="15" hidden="false" customHeight="false" outlineLevel="0" collapsed="false">
      <c r="A39" s="26" t="s">
        <v>350</v>
      </c>
      <c r="B39" s="31" t="n">
        <f aca="false">MAX(P3:P22)</f>
        <v>3</v>
      </c>
    </row>
    <row r="40" customFormat="false" ht="15" hidden="false" customHeight="false" outlineLevel="0" collapsed="false">
      <c r="A40" s="26" t="s">
        <v>351</v>
      </c>
      <c r="B40" s="31" t="n">
        <f aca="false">MAX(R3:R22)</f>
        <v>11</v>
      </c>
    </row>
    <row r="43" customFormat="false" ht="15" hidden="false" customHeight="false" outlineLevel="0" collapsed="false">
      <c r="A43" s="32" t="s">
        <v>352</v>
      </c>
    </row>
    <row r="44" customFormat="false" ht="15" hidden="false" customHeight="false" outlineLevel="0" collapsed="false">
      <c r="A44" s="33" t="s">
        <v>306</v>
      </c>
      <c r="B44" s="33" t="s">
        <v>270</v>
      </c>
      <c r="C44" s="33" t="s">
        <v>78</v>
      </c>
      <c r="D44" s="33" t="s">
        <v>102</v>
      </c>
      <c r="E44" s="33" t="s">
        <v>242</v>
      </c>
      <c r="F44" s="33" t="s">
        <v>353</v>
      </c>
    </row>
    <row r="45" customFormat="false" ht="15" hidden="false" customHeight="false" outlineLevel="0" collapsed="false">
      <c r="A45" s="6" t="str">
        <f aca="false">A3</f>
        <v>AR</v>
      </c>
      <c r="B45" s="34" t="n">
        <f aca="false">IF(COUNTIFS('1 · BBDD Casos incluidos'!$A$2:$A$29,$A45,'1 · BBDD Casos incluidos'!$AC$2:$AC$29,1)&gt;0,1,0)</f>
        <v>0</v>
      </c>
      <c r="C45" s="34" t="n">
        <f aca="false">IF(COUNTIFS('1 · BBDD Casos incluidos'!$A$2:$A$29,$A45,'1 · BBDD Casos incluidos'!$AD$2:$AD$29,1)&gt;0,1,0)</f>
        <v>0</v>
      </c>
      <c r="D45" s="34" t="n">
        <f aca="false">IF(COUNTIFS('1 · BBDD Casos incluidos'!$A$2:$A$29,$A45,'1 · BBDD Casos incluidos'!$AE$2:$AE$29,1)&gt;0,1,0)</f>
        <v>0</v>
      </c>
      <c r="E45" s="34" t="n">
        <f aca="false">IF(COUNTIFS('1 · BBDD Casos incluidos'!$A$2:$A$29,$A45,'1 · BBDD Casos incluidos'!$AF$2:$AF$29,1)&gt;0,1,0)</f>
        <v>0</v>
      </c>
      <c r="F45" s="34" t="n">
        <f aca="false">IF(COUNTIFS('1 · BBDD Casos incluidos'!$A$2:$A$29,$A45,'1 · BBDD Casos incluidos'!$AG$2:$AG$29,1)&gt;0,1,0)</f>
        <v>0</v>
      </c>
    </row>
    <row r="46" customFormat="false" ht="15" hidden="false" customHeight="false" outlineLevel="0" collapsed="false">
      <c r="A46" s="6" t="str">
        <f aca="false">A4</f>
        <v>BO</v>
      </c>
      <c r="B46" s="34" t="n">
        <f aca="false">IF(COUNTIFS('1 · BBDD Casos incluidos'!$A$2:$A$29,$A46,'1 · BBDD Casos incluidos'!$AC$2:$AC$29,1)&gt;0,1,0)</f>
        <v>0</v>
      </c>
      <c r="C46" s="34" t="n">
        <f aca="false">IF(COUNTIFS('1 · BBDD Casos incluidos'!$A$2:$A$29,$A46,'1 · BBDD Casos incluidos'!$AD$2:$AD$29,1)&gt;0,1,0)</f>
        <v>1</v>
      </c>
      <c r="D46" s="34" t="n">
        <f aca="false">IF(COUNTIFS('1 · BBDD Casos incluidos'!$A$2:$A$29,$A46,'1 · BBDD Casos incluidos'!$AE$2:$AE$29,1)&gt;0,1,0)</f>
        <v>0</v>
      </c>
      <c r="E46" s="34" t="n">
        <f aca="false">IF(COUNTIFS('1 · BBDD Casos incluidos'!$A$2:$A$29,$A46,'1 · BBDD Casos incluidos'!$AF$2:$AF$29,1)&gt;0,1,0)</f>
        <v>0</v>
      </c>
      <c r="F46" s="34" t="n">
        <f aca="false">IF(COUNTIFS('1 · BBDD Casos incluidos'!$A$2:$A$29,$A46,'1 · BBDD Casos incluidos'!$AG$2:$AG$29,1)&gt;0,1,0)</f>
        <v>0</v>
      </c>
    </row>
    <row r="47" customFormat="false" ht="15" hidden="false" customHeight="false" outlineLevel="0" collapsed="false">
      <c r="A47" s="6" t="str">
        <f aca="false">A5</f>
        <v>BR</v>
      </c>
      <c r="B47" s="34" t="n">
        <f aca="false">IF(COUNTIFS('1 · BBDD Casos incluidos'!$A$2:$A$29,$A47,'1 · BBDD Casos incluidos'!$AC$2:$AC$29,1)&gt;0,1,0)</f>
        <v>1</v>
      </c>
      <c r="C47" s="34" t="n">
        <f aca="false">IF(COUNTIFS('1 · BBDD Casos incluidos'!$A$2:$A$29,$A47,'1 · BBDD Casos incluidos'!$AD$2:$AD$29,1)&gt;0,1,0)</f>
        <v>1</v>
      </c>
      <c r="D47" s="34" t="n">
        <f aca="false">IF(COUNTIFS('1 · BBDD Casos incluidos'!$A$2:$A$29,$A47,'1 · BBDD Casos incluidos'!$AE$2:$AE$29,1)&gt;0,1,0)</f>
        <v>1</v>
      </c>
      <c r="E47" s="34" t="n">
        <f aca="false">IF(COUNTIFS('1 · BBDD Casos incluidos'!$A$2:$A$29,$A47,'1 · BBDD Casos incluidos'!$AF$2:$AF$29,1)&gt;0,1,0)</f>
        <v>1</v>
      </c>
      <c r="F47" s="34" t="n">
        <f aca="false">IF(COUNTIFS('1 · BBDD Casos incluidos'!$A$2:$A$29,$A47,'1 · BBDD Casos incluidos'!$AG$2:$AG$29,1)&gt;0,1,0)</f>
        <v>1</v>
      </c>
    </row>
    <row r="48" customFormat="false" ht="15" hidden="false" customHeight="false" outlineLevel="0" collapsed="false">
      <c r="A48" s="6" t="str">
        <f aca="false">A6</f>
        <v>CL</v>
      </c>
      <c r="B48" s="34" t="n">
        <f aca="false">IF(COUNTIFS('1 · BBDD Casos incluidos'!$A$2:$A$29,$A48,'1 · BBDD Casos incluidos'!$AC$2:$AC$29,1)&gt;0,1,0)</f>
        <v>1</v>
      </c>
      <c r="C48" s="34" t="n">
        <f aca="false">IF(COUNTIFS('1 · BBDD Casos incluidos'!$A$2:$A$29,$A48,'1 · BBDD Casos incluidos'!$AD$2:$AD$29,1)&gt;0,1,0)</f>
        <v>1</v>
      </c>
      <c r="D48" s="34" t="n">
        <f aca="false">IF(COUNTIFS('1 · BBDD Casos incluidos'!$A$2:$A$29,$A48,'1 · BBDD Casos incluidos'!$AE$2:$AE$29,1)&gt;0,1,0)</f>
        <v>1</v>
      </c>
      <c r="E48" s="34" t="n">
        <f aca="false">IF(COUNTIFS('1 · BBDD Casos incluidos'!$A$2:$A$29,$A48,'1 · BBDD Casos incluidos'!$AF$2:$AF$29,1)&gt;0,1,0)</f>
        <v>0</v>
      </c>
      <c r="F48" s="34" t="n">
        <f aca="false">IF(COUNTIFS('1 · BBDD Casos incluidos'!$A$2:$A$29,$A48,'1 · BBDD Casos incluidos'!$AG$2:$AG$29,1)&gt;0,1,0)</f>
        <v>0</v>
      </c>
    </row>
    <row r="49" customFormat="false" ht="15" hidden="false" customHeight="false" outlineLevel="0" collapsed="false">
      <c r="A49" s="6" t="str">
        <f aca="false">A7</f>
        <v>CO</v>
      </c>
      <c r="B49" s="34" t="n">
        <f aca="false">IF(COUNTIFS('1 · BBDD Casos incluidos'!$A$2:$A$29,$A49,'1 · BBDD Casos incluidos'!$AC$2:$AC$29,1)&gt;0,1,0)</f>
        <v>1</v>
      </c>
      <c r="C49" s="34" t="n">
        <f aca="false">IF(COUNTIFS('1 · BBDD Casos incluidos'!$A$2:$A$29,$A49,'1 · BBDD Casos incluidos'!$AD$2:$AD$29,1)&gt;0,1,0)</f>
        <v>1</v>
      </c>
      <c r="D49" s="34" t="n">
        <f aca="false">IF(COUNTIFS('1 · BBDD Casos incluidos'!$A$2:$A$29,$A49,'1 · BBDD Casos incluidos'!$AE$2:$AE$29,1)&gt;0,1,0)</f>
        <v>0</v>
      </c>
      <c r="E49" s="34" t="n">
        <f aca="false">IF(COUNTIFS('1 · BBDD Casos incluidos'!$A$2:$A$29,$A49,'1 · BBDD Casos incluidos'!$AF$2:$AF$29,1)&gt;0,1,0)</f>
        <v>0</v>
      </c>
      <c r="F49" s="34" t="n">
        <f aca="false">IF(COUNTIFS('1 · BBDD Casos incluidos'!$A$2:$A$29,$A49,'1 · BBDD Casos incluidos'!$AG$2:$AG$29,1)&gt;0,1,0)</f>
        <v>1</v>
      </c>
    </row>
    <row r="50" customFormat="false" ht="15" hidden="false" customHeight="false" outlineLevel="0" collapsed="false">
      <c r="A50" s="6" t="str">
        <f aca="false">A8</f>
        <v>CR</v>
      </c>
      <c r="B50" s="34" t="n">
        <f aca="false">IF(COUNTIFS('1 · BBDD Casos incluidos'!$A$2:$A$29,$A50,'1 · BBDD Casos incluidos'!$AC$2:$AC$29,1)&gt;0,1,0)</f>
        <v>0</v>
      </c>
      <c r="C50" s="34" t="n">
        <f aca="false">IF(COUNTIFS('1 · BBDD Casos incluidos'!$A$2:$A$29,$A50,'1 · BBDD Casos incluidos'!$AD$2:$AD$29,1)&gt;0,1,0)</f>
        <v>0</v>
      </c>
      <c r="D50" s="34" t="n">
        <f aca="false">IF(COUNTIFS('1 · BBDD Casos incluidos'!$A$2:$A$29,$A50,'1 · BBDD Casos incluidos'!$AE$2:$AE$29,1)&gt;0,1,0)</f>
        <v>0</v>
      </c>
      <c r="E50" s="34" t="n">
        <f aca="false">IF(COUNTIFS('1 · BBDD Casos incluidos'!$A$2:$A$29,$A50,'1 · BBDD Casos incluidos'!$AF$2:$AF$29,1)&gt;0,1,0)</f>
        <v>0</v>
      </c>
      <c r="F50" s="34" t="n">
        <f aca="false">IF(COUNTIFS('1 · BBDD Casos incluidos'!$A$2:$A$29,$A50,'1 · BBDD Casos incluidos'!$AG$2:$AG$29,1)&gt;0,1,0)</f>
        <v>0</v>
      </c>
    </row>
    <row r="51" customFormat="false" ht="15" hidden="false" customHeight="false" outlineLevel="0" collapsed="false">
      <c r="A51" s="6" t="str">
        <f aca="false">A9</f>
        <v>CU</v>
      </c>
      <c r="B51" s="34" t="n">
        <f aca="false">IF(COUNTIFS('1 · BBDD Casos incluidos'!$A$2:$A$29,$A51,'1 · BBDD Casos incluidos'!$AC$2:$AC$29,1)&gt;0,1,0)</f>
        <v>1</v>
      </c>
      <c r="C51" s="34" t="n">
        <f aca="false">IF(COUNTIFS('1 · BBDD Casos incluidos'!$A$2:$A$29,$A51,'1 · BBDD Casos incluidos'!$AD$2:$AD$29,1)&gt;0,1,0)</f>
        <v>0</v>
      </c>
      <c r="D51" s="34" t="n">
        <f aca="false">IF(COUNTIFS('1 · BBDD Casos incluidos'!$A$2:$A$29,$A51,'1 · BBDD Casos incluidos'!$AE$2:$AE$29,1)&gt;0,1,0)</f>
        <v>0</v>
      </c>
      <c r="E51" s="34" t="n">
        <f aca="false">IF(COUNTIFS('1 · BBDD Casos incluidos'!$A$2:$A$29,$A51,'1 · BBDD Casos incluidos'!$AF$2:$AF$29,1)&gt;0,1,0)</f>
        <v>1</v>
      </c>
      <c r="F51" s="34" t="n">
        <f aca="false">IF(COUNTIFS('1 · BBDD Casos incluidos'!$A$2:$A$29,$A51,'1 · BBDD Casos incluidos'!$AG$2:$AG$29,1)&gt;0,1,0)</f>
        <v>0</v>
      </c>
    </row>
    <row r="52" customFormat="false" ht="15" hidden="false" customHeight="false" outlineLevel="0" collapsed="false">
      <c r="A52" s="6" t="str">
        <f aca="false">A10</f>
        <v>DO</v>
      </c>
      <c r="B52" s="34" t="n">
        <f aca="false">IF(COUNTIFS('1 · BBDD Casos incluidos'!$A$2:$A$29,$A52,'1 · BBDD Casos incluidos'!$AC$2:$AC$29,1)&gt;0,1,0)</f>
        <v>0</v>
      </c>
      <c r="C52" s="34" t="n">
        <f aca="false">IF(COUNTIFS('1 · BBDD Casos incluidos'!$A$2:$A$29,$A52,'1 · BBDD Casos incluidos'!$AD$2:$AD$29,1)&gt;0,1,0)</f>
        <v>0</v>
      </c>
      <c r="D52" s="34" t="n">
        <f aca="false">IF(COUNTIFS('1 · BBDD Casos incluidos'!$A$2:$A$29,$A52,'1 · BBDD Casos incluidos'!$AE$2:$AE$29,1)&gt;0,1,0)</f>
        <v>0</v>
      </c>
      <c r="E52" s="34" t="n">
        <f aca="false">IF(COUNTIFS('1 · BBDD Casos incluidos'!$A$2:$A$29,$A52,'1 · BBDD Casos incluidos'!$AF$2:$AF$29,1)&gt;0,1,0)</f>
        <v>0</v>
      </c>
      <c r="F52" s="34" t="n">
        <f aca="false">IF(COUNTIFS('1 · BBDD Casos incluidos'!$A$2:$A$29,$A52,'1 · BBDD Casos incluidos'!$AG$2:$AG$29,1)&gt;0,1,0)</f>
        <v>0</v>
      </c>
    </row>
    <row r="53" customFormat="false" ht="15" hidden="false" customHeight="false" outlineLevel="0" collapsed="false">
      <c r="A53" s="6" t="str">
        <f aca="false">A11</f>
        <v>EC</v>
      </c>
      <c r="B53" s="34" t="n">
        <f aca="false">IF(COUNTIFS('1 · BBDD Casos incluidos'!$A$2:$A$29,$A53,'1 · BBDD Casos incluidos'!$AC$2:$AC$29,1)&gt;0,1,0)</f>
        <v>0</v>
      </c>
      <c r="C53" s="34" t="n">
        <f aca="false">IF(COUNTIFS('1 · BBDD Casos incluidos'!$A$2:$A$29,$A53,'1 · BBDD Casos incluidos'!$AD$2:$AD$29,1)&gt;0,1,0)</f>
        <v>0</v>
      </c>
      <c r="D53" s="34" t="n">
        <f aca="false">IF(COUNTIFS('1 · BBDD Casos incluidos'!$A$2:$A$29,$A53,'1 · BBDD Casos incluidos'!$AE$2:$AE$29,1)&gt;0,1,0)</f>
        <v>0</v>
      </c>
      <c r="E53" s="34" t="n">
        <f aca="false">IF(COUNTIFS('1 · BBDD Casos incluidos'!$A$2:$A$29,$A53,'1 · BBDD Casos incluidos'!$AF$2:$AF$29,1)&gt;0,1,0)</f>
        <v>1</v>
      </c>
      <c r="F53" s="34" t="n">
        <f aca="false">IF(COUNTIFS('1 · BBDD Casos incluidos'!$A$2:$A$29,$A53,'1 · BBDD Casos incluidos'!$AG$2:$AG$29,1)&gt;0,1,0)</f>
        <v>0</v>
      </c>
    </row>
    <row r="54" customFormat="false" ht="15" hidden="false" customHeight="false" outlineLevel="0" collapsed="false">
      <c r="A54" s="6" t="str">
        <f aca="false">A12</f>
        <v>GT</v>
      </c>
      <c r="B54" s="34" t="n">
        <f aca="false">IF(COUNTIFS('1 · BBDD Casos incluidos'!$A$2:$A$29,$A54,'1 · BBDD Casos incluidos'!$AC$2:$AC$29,1)&gt;0,1,0)</f>
        <v>0</v>
      </c>
      <c r="C54" s="34" t="n">
        <f aca="false">IF(COUNTIFS('1 · BBDD Casos incluidos'!$A$2:$A$29,$A54,'1 · BBDD Casos incluidos'!$AD$2:$AD$29,1)&gt;0,1,0)</f>
        <v>1</v>
      </c>
      <c r="D54" s="34" t="n">
        <f aca="false">IF(COUNTIFS('1 · BBDD Casos incluidos'!$A$2:$A$29,$A54,'1 · BBDD Casos incluidos'!$AE$2:$AE$29,1)&gt;0,1,0)</f>
        <v>0</v>
      </c>
      <c r="E54" s="34" t="n">
        <f aca="false">IF(COUNTIFS('1 · BBDD Casos incluidos'!$A$2:$A$29,$A54,'1 · BBDD Casos incluidos'!$AF$2:$AF$29,1)&gt;0,1,0)</f>
        <v>0</v>
      </c>
      <c r="F54" s="34" t="n">
        <f aca="false">IF(COUNTIFS('1 · BBDD Casos incluidos'!$A$2:$A$29,$A54,'1 · BBDD Casos incluidos'!$AG$2:$AG$29,1)&gt;0,1,0)</f>
        <v>0</v>
      </c>
    </row>
    <row r="55" customFormat="false" ht="15" hidden="false" customHeight="false" outlineLevel="0" collapsed="false">
      <c r="A55" s="6" t="str">
        <f aca="false">A13</f>
        <v>HN</v>
      </c>
      <c r="B55" s="34" t="n">
        <f aca="false">IF(COUNTIFS('1 · BBDD Casos incluidos'!$A$2:$A$29,$A55,'1 · BBDD Casos incluidos'!$AC$2:$AC$29,1)&gt;0,1,0)</f>
        <v>0</v>
      </c>
      <c r="C55" s="34" t="n">
        <f aca="false">IF(COUNTIFS('1 · BBDD Casos incluidos'!$A$2:$A$29,$A55,'1 · BBDD Casos incluidos'!$AD$2:$AD$29,1)&gt;0,1,0)</f>
        <v>0</v>
      </c>
      <c r="D55" s="34" t="n">
        <f aca="false">IF(COUNTIFS('1 · BBDD Casos incluidos'!$A$2:$A$29,$A55,'1 · BBDD Casos incluidos'!$AE$2:$AE$29,1)&gt;0,1,0)</f>
        <v>0</v>
      </c>
      <c r="E55" s="34" t="n">
        <f aca="false">IF(COUNTIFS('1 · BBDD Casos incluidos'!$A$2:$A$29,$A55,'1 · BBDD Casos incluidos'!$AF$2:$AF$29,1)&gt;0,1,0)</f>
        <v>0</v>
      </c>
      <c r="F55" s="34" t="n">
        <f aca="false">IF(COUNTIFS('1 · BBDD Casos incluidos'!$A$2:$A$29,$A55,'1 · BBDD Casos incluidos'!$AG$2:$AG$29,1)&gt;0,1,0)</f>
        <v>0</v>
      </c>
    </row>
    <row r="56" customFormat="false" ht="15" hidden="false" customHeight="false" outlineLevel="0" collapsed="false">
      <c r="A56" s="6" t="str">
        <f aca="false">A14</f>
        <v>JM</v>
      </c>
      <c r="B56" s="34" t="n">
        <f aca="false">IF(COUNTIFS('1 · BBDD Casos incluidos'!$A$2:$A$29,$A56,'1 · BBDD Casos incluidos'!$AC$2:$AC$29,1)&gt;0,1,0)</f>
        <v>0</v>
      </c>
      <c r="C56" s="34" t="n">
        <f aca="false">IF(COUNTIFS('1 · BBDD Casos incluidos'!$A$2:$A$29,$A56,'1 · BBDD Casos incluidos'!$AD$2:$AD$29,1)&gt;0,1,0)</f>
        <v>0</v>
      </c>
      <c r="D56" s="34" t="n">
        <f aca="false">IF(COUNTIFS('1 · BBDD Casos incluidos'!$A$2:$A$29,$A56,'1 · BBDD Casos incluidos'!$AE$2:$AE$29,1)&gt;0,1,0)</f>
        <v>0</v>
      </c>
      <c r="E56" s="34" t="n">
        <f aca="false">IF(COUNTIFS('1 · BBDD Casos incluidos'!$A$2:$A$29,$A56,'1 · BBDD Casos incluidos'!$AF$2:$AF$29,1)&gt;0,1,0)</f>
        <v>0</v>
      </c>
      <c r="F56" s="34" t="n">
        <f aca="false">IF(COUNTIFS('1 · BBDD Casos incluidos'!$A$2:$A$29,$A56,'1 · BBDD Casos incluidos'!$AG$2:$AG$29,1)&gt;0,1,0)</f>
        <v>0</v>
      </c>
    </row>
    <row r="57" customFormat="false" ht="15" hidden="false" customHeight="false" outlineLevel="0" collapsed="false">
      <c r="A57" s="6" t="str">
        <f aca="false">A15</f>
        <v>MX</v>
      </c>
      <c r="B57" s="34" t="n">
        <f aca="false">IF(COUNTIFS('1 · BBDD Casos incluidos'!$A$2:$A$29,$A57,'1 · BBDD Casos incluidos'!$AC$2:$AC$29,1)&gt;0,1,0)</f>
        <v>0</v>
      </c>
      <c r="C57" s="34" t="n">
        <f aca="false">IF(COUNTIFS('1 · BBDD Casos incluidos'!$A$2:$A$29,$A57,'1 · BBDD Casos incluidos'!$AD$2:$AD$29,1)&gt;0,1,0)</f>
        <v>1</v>
      </c>
      <c r="D57" s="34" t="n">
        <f aca="false">IF(COUNTIFS('1 · BBDD Casos incluidos'!$A$2:$A$29,$A57,'1 · BBDD Casos incluidos'!$AE$2:$AE$29,1)&gt;0,1,0)</f>
        <v>0</v>
      </c>
      <c r="E57" s="34" t="n">
        <f aca="false">IF(COUNTIFS('1 · BBDD Casos incluidos'!$A$2:$A$29,$A57,'1 · BBDD Casos incluidos'!$AF$2:$AF$29,1)&gt;0,1,0)</f>
        <v>0</v>
      </c>
      <c r="F57" s="34" t="n">
        <f aca="false">IF(COUNTIFS('1 · BBDD Casos incluidos'!$A$2:$A$29,$A57,'1 · BBDD Casos incluidos'!$AG$2:$AG$29,1)&gt;0,1,0)</f>
        <v>0</v>
      </c>
    </row>
    <row r="58" customFormat="false" ht="15" hidden="false" customHeight="false" outlineLevel="0" collapsed="false">
      <c r="A58" s="6" t="str">
        <f aca="false">A16</f>
        <v>PA</v>
      </c>
      <c r="B58" s="34" t="n">
        <f aca="false">IF(COUNTIFS('1 · BBDD Casos incluidos'!$A$2:$A$29,$A58,'1 · BBDD Casos incluidos'!$AC$2:$AC$29,1)&gt;0,1,0)</f>
        <v>1</v>
      </c>
      <c r="C58" s="34" t="n">
        <f aca="false">IF(COUNTIFS('1 · BBDD Casos incluidos'!$A$2:$A$29,$A58,'1 · BBDD Casos incluidos'!$AD$2:$AD$29,1)&gt;0,1,0)</f>
        <v>0</v>
      </c>
      <c r="D58" s="34" t="n">
        <f aca="false">IF(COUNTIFS('1 · BBDD Casos incluidos'!$A$2:$A$29,$A58,'1 · BBDD Casos incluidos'!$AE$2:$AE$29,1)&gt;0,1,0)</f>
        <v>0</v>
      </c>
      <c r="E58" s="34" t="n">
        <f aca="false">IF(COUNTIFS('1 · BBDD Casos incluidos'!$A$2:$A$29,$A58,'1 · BBDD Casos incluidos'!$AF$2:$AF$29,1)&gt;0,1,0)</f>
        <v>0</v>
      </c>
      <c r="F58" s="34" t="n">
        <f aca="false">IF(COUNTIFS('1 · BBDD Casos incluidos'!$A$2:$A$29,$A58,'1 · BBDD Casos incluidos'!$AG$2:$AG$29,1)&gt;0,1,0)</f>
        <v>0</v>
      </c>
    </row>
    <row r="59" customFormat="false" ht="15" hidden="false" customHeight="false" outlineLevel="0" collapsed="false">
      <c r="A59" s="6" t="str">
        <f aca="false">A17</f>
        <v>PE</v>
      </c>
      <c r="B59" s="34" t="n">
        <f aca="false">IF(COUNTIFS('1 · BBDD Casos incluidos'!$A$2:$A$29,$A59,'1 · BBDD Casos incluidos'!$AC$2:$AC$29,1)&gt;0,1,0)</f>
        <v>0</v>
      </c>
      <c r="C59" s="34" t="n">
        <f aca="false">IF(COUNTIFS('1 · BBDD Casos incluidos'!$A$2:$A$29,$A59,'1 · BBDD Casos incluidos'!$AD$2:$AD$29,1)&gt;0,1,0)</f>
        <v>1</v>
      </c>
      <c r="D59" s="34" t="n">
        <f aca="false">IF(COUNTIFS('1 · BBDD Casos incluidos'!$A$2:$A$29,$A59,'1 · BBDD Casos incluidos'!$AE$2:$AE$29,1)&gt;0,1,0)</f>
        <v>0</v>
      </c>
      <c r="E59" s="34" t="n">
        <f aca="false">IF(COUNTIFS('1 · BBDD Casos incluidos'!$A$2:$A$29,$A59,'1 · BBDD Casos incluidos'!$AF$2:$AF$29,1)&gt;0,1,0)</f>
        <v>0</v>
      </c>
      <c r="F59" s="34" t="n">
        <f aca="false">IF(COUNTIFS('1 · BBDD Casos incluidos'!$A$2:$A$29,$A59,'1 · BBDD Casos incluidos'!$AG$2:$AG$29,1)&gt;0,1,0)</f>
        <v>0</v>
      </c>
    </row>
    <row r="60" customFormat="false" ht="15" hidden="false" customHeight="false" outlineLevel="0" collapsed="false">
      <c r="A60" s="6" t="str">
        <f aca="false">A18</f>
        <v>PY</v>
      </c>
      <c r="B60" s="34" t="n">
        <f aca="false">IF(COUNTIFS('1 · BBDD Casos incluidos'!$A$2:$A$29,$A60,'1 · BBDD Casos incluidos'!$AC$2:$AC$29,1)&gt;0,1,0)</f>
        <v>0</v>
      </c>
      <c r="C60" s="34" t="n">
        <f aca="false">IF(COUNTIFS('1 · BBDD Casos incluidos'!$A$2:$A$29,$A60,'1 · BBDD Casos incluidos'!$AD$2:$AD$29,1)&gt;0,1,0)</f>
        <v>0</v>
      </c>
      <c r="D60" s="34" t="n">
        <f aca="false">IF(COUNTIFS('1 · BBDD Casos incluidos'!$A$2:$A$29,$A60,'1 · BBDD Casos incluidos'!$AE$2:$AE$29,1)&gt;0,1,0)</f>
        <v>0</v>
      </c>
      <c r="E60" s="34" t="n">
        <f aca="false">IF(COUNTIFS('1 · BBDD Casos incluidos'!$A$2:$A$29,$A60,'1 · BBDD Casos incluidos'!$AF$2:$AF$29,1)&gt;0,1,0)</f>
        <v>0</v>
      </c>
      <c r="F60" s="34" t="n">
        <f aca="false">IF(COUNTIFS('1 · BBDD Casos incluidos'!$A$2:$A$29,$A60,'1 · BBDD Casos incluidos'!$AG$2:$AG$29,1)&gt;0,1,0)</f>
        <v>0</v>
      </c>
    </row>
    <row r="61" customFormat="false" ht="15" hidden="false" customHeight="false" outlineLevel="0" collapsed="false">
      <c r="A61" s="6" t="str">
        <f aca="false">A19</f>
        <v>SV</v>
      </c>
      <c r="B61" s="34" t="n">
        <f aca="false">IF(COUNTIFS('1 · BBDD Casos incluidos'!$A$2:$A$29,$A61,'1 · BBDD Casos incluidos'!$AC$2:$AC$29,1)&gt;0,1,0)</f>
        <v>0</v>
      </c>
      <c r="C61" s="34" t="n">
        <f aca="false">IF(COUNTIFS('1 · BBDD Casos incluidos'!$A$2:$A$29,$A61,'1 · BBDD Casos incluidos'!$AD$2:$AD$29,1)&gt;0,1,0)</f>
        <v>0</v>
      </c>
      <c r="D61" s="34" t="n">
        <f aca="false">IF(COUNTIFS('1 · BBDD Casos incluidos'!$A$2:$A$29,$A61,'1 · BBDD Casos incluidos'!$AE$2:$AE$29,1)&gt;0,1,0)</f>
        <v>0</v>
      </c>
      <c r="E61" s="34" t="n">
        <f aca="false">IF(COUNTIFS('1 · BBDD Casos incluidos'!$A$2:$A$29,$A61,'1 · BBDD Casos incluidos'!$AF$2:$AF$29,1)&gt;0,1,0)</f>
        <v>0</v>
      </c>
      <c r="F61" s="34" t="n">
        <f aca="false">IF(COUNTIFS('1 · BBDD Casos incluidos'!$A$2:$A$29,$A61,'1 · BBDD Casos incluidos'!$AG$2:$AG$29,1)&gt;0,1,0)</f>
        <v>0</v>
      </c>
    </row>
    <row r="62" customFormat="false" ht="15" hidden="false" customHeight="false" outlineLevel="0" collapsed="false">
      <c r="A62" s="6" t="str">
        <f aca="false">A20</f>
        <v>TT</v>
      </c>
      <c r="B62" s="34" t="n">
        <f aca="false">IF(COUNTIFS('1 · BBDD Casos incluidos'!$A$2:$A$29,$A62,'1 · BBDD Casos incluidos'!$AC$2:$AC$29,1)&gt;0,1,0)</f>
        <v>0</v>
      </c>
      <c r="C62" s="34" t="n">
        <f aca="false">IF(COUNTIFS('1 · BBDD Casos incluidos'!$A$2:$A$29,$A62,'1 · BBDD Casos incluidos'!$AD$2:$AD$29,1)&gt;0,1,0)</f>
        <v>0</v>
      </c>
      <c r="D62" s="34" t="n">
        <f aca="false">IF(COUNTIFS('1 · BBDD Casos incluidos'!$A$2:$A$29,$A62,'1 · BBDD Casos incluidos'!$AE$2:$AE$29,1)&gt;0,1,0)</f>
        <v>0</v>
      </c>
      <c r="E62" s="34" t="n">
        <f aca="false">IF(COUNTIFS('1 · BBDD Casos incluidos'!$A$2:$A$29,$A62,'1 · BBDD Casos incluidos'!$AF$2:$AF$29,1)&gt;0,1,0)</f>
        <v>0</v>
      </c>
      <c r="F62" s="34" t="n">
        <f aca="false">IF(COUNTIFS('1 · BBDD Casos incluidos'!$A$2:$A$29,$A62,'1 · BBDD Casos incluidos'!$AG$2:$AG$29,1)&gt;0,1,0)</f>
        <v>0</v>
      </c>
    </row>
    <row r="63" customFormat="false" ht="15" hidden="false" customHeight="false" outlineLevel="0" collapsed="false">
      <c r="A63" s="6" t="str">
        <f aca="false">A21</f>
        <v>UY</v>
      </c>
      <c r="B63" s="34" t="n">
        <f aca="false">IF(COUNTIFS('1 · BBDD Casos incluidos'!$A$2:$A$29,$A63,'1 · BBDD Casos incluidos'!$AC$2:$AC$29,1)&gt;0,1,0)</f>
        <v>0</v>
      </c>
      <c r="C63" s="34" t="n">
        <f aca="false">IF(COUNTIFS('1 · BBDD Casos incluidos'!$A$2:$A$29,$A63,'1 · BBDD Casos incluidos'!$AD$2:$AD$29,1)&gt;0,1,0)</f>
        <v>0</v>
      </c>
      <c r="D63" s="34" t="n">
        <f aca="false">IF(COUNTIFS('1 · BBDD Casos incluidos'!$A$2:$A$29,$A63,'1 · BBDD Casos incluidos'!$AE$2:$AE$29,1)&gt;0,1,0)</f>
        <v>0</v>
      </c>
      <c r="E63" s="34" t="n">
        <f aca="false">IF(COUNTIFS('1 · BBDD Casos incluidos'!$A$2:$A$29,$A63,'1 · BBDD Casos incluidos'!$AF$2:$AF$29,1)&gt;0,1,0)</f>
        <v>1</v>
      </c>
      <c r="F63" s="34" t="n">
        <f aca="false">IF(COUNTIFS('1 · BBDD Casos incluidos'!$A$2:$A$29,$A63,'1 · BBDD Casos incluidos'!$AG$2:$AG$29,1)&gt;0,1,0)</f>
        <v>0</v>
      </c>
    </row>
    <row r="64" customFormat="false" ht="15" hidden="false" customHeight="false" outlineLevel="0" collapsed="false">
      <c r="A64" s="6" t="str">
        <f aca="false">A22</f>
        <v>VE</v>
      </c>
      <c r="B64" s="34" t="n">
        <f aca="false">IF(COUNTIFS('1 · BBDD Casos incluidos'!$A$2:$A$29,$A64,'1 · BBDD Casos incluidos'!$AC$2:$AC$29,1)&gt;0,1,0)</f>
        <v>0</v>
      </c>
      <c r="C64" s="34" t="n">
        <f aca="false">IF(COUNTIFS('1 · BBDD Casos incluidos'!$A$2:$A$29,$A64,'1 · BBDD Casos incluidos'!$AD$2:$AD$29,1)&gt;0,1,0)</f>
        <v>0</v>
      </c>
      <c r="D64" s="34" t="n">
        <f aca="false">IF(COUNTIFS('1 · BBDD Casos incluidos'!$A$2:$A$29,$A64,'1 · BBDD Casos incluidos'!$AE$2:$AE$29,1)&gt;0,1,0)</f>
        <v>0</v>
      </c>
      <c r="E64" s="34" t="n">
        <f aca="false">IF(COUNTIFS('1 · BBDD Casos incluidos'!$A$2:$A$29,$A64,'1 · BBDD Casos incluidos'!$AF$2:$AF$29,1)&gt;0,1,0)</f>
        <v>1</v>
      </c>
      <c r="F64" s="34" t="n">
        <f aca="false">IF(COUNTIFS('1 · BBDD Casos incluidos'!$A$2:$A$29,$A64,'1 · BBDD Casos incluidos'!$AG$2:$AG$29,1)&gt;0,1,0)</f>
        <v>0</v>
      </c>
    </row>
    <row r="67" customFormat="false" ht="15" hidden="false" customHeight="false" outlineLevel="0" collapsed="false">
      <c r="A67" s="32" t="s">
        <v>354</v>
      </c>
    </row>
    <row r="68" customFormat="false" ht="15" hidden="false" customHeight="false" outlineLevel="0" collapsed="false">
      <c r="A68" s="33" t="s">
        <v>306</v>
      </c>
      <c r="B68" s="33" t="s">
        <v>355</v>
      </c>
      <c r="C68" s="33" t="s">
        <v>103</v>
      </c>
      <c r="D68" s="33" t="s">
        <v>62</v>
      </c>
      <c r="E68" s="33" t="s">
        <v>356</v>
      </c>
    </row>
    <row r="69" customFormat="false" ht="15" hidden="false" customHeight="false" outlineLevel="0" collapsed="false">
      <c r="A69" s="6" t="str">
        <f aca="false">A3</f>
        <v>AR</v>
      </c>
      <c r="B69" s="34" t="n">
        <f aca="false">IF(COUNTIFS('1 · BBDD Casos incluidos'!$A$2:$A$29,$A69,'1 · BBDD Casos incluidos'!$AH$2:$AH$29,1)&gt;0,1,0)</f>
        <v>0</v>
      </c>
      <c r="C69" s="34" t="n">
        <f aca="false">IF(COUNTIFS('1 · BBDD Casos incluidos'!$A$2:$A$29,$A69,'1 · BBDD Casos incluidos'!$AI$2:$AI$29,1)&gt;0,1,0)</f>
        <v>0</v>
      </c>
      <c r="D69" s="34" t="n">
        <f aca="false">IF(COUNTIFS('1 · BBDD Casos incluidos'!$A$2:$A$29,$A69,'1 · BBDD Casos incluidos'!$AJ$2:$AJ$29,1)&gt;0,1,0)</f>
        <v>0</v>
      </c>
      <c r="E69" s="34" t="n">
        <f aca="false">IF(COUNTIFS('1 · BBDD Casos incluidos'!$A$2:$A$29,$A69,'1 · BBDD Casos incluidos'!$AK$2:$AK$29,1)&gt;0,1,0)</f>
        <v>0</v>
      </c>
    </row>
    <row r="70" customFormat="false" ht="15" hidden="false" customHeight="false" outlineLevel="0" collapsed="false">
      <c r="A70" s="6" t="str">
        <f aca="false">A4</f>
        <v>BO</v>
      </c>
      <c r="B70" s="34" t="n">
        <f aca="false">IF(COUNTIFS('1 · BBDD Casos incluidos'!$A$2:$A$29,$A70,'1 · BBDD Casos incluidos'!$AH$2:$AH$29,1)&gt;0,1,0)</f>
        <v>0</v>
      </c>
      <c r="C70" s="34" t="n">
        <f aca="false">IF(COUNTIFS('1 · BBDD Casos incluidos'!$A$2:$A$29,$A70,'1 · BBDD Casos incluidos'!$AI$2:$AI$29,1)&gt;0,1,0)</f>
        <v>1</v>
      </c>
      <c r="D70" s="34" t="n">
        <f aca="false">IF(COUNTIFS('1 · BBDD Casos incluidos'!$A$2:$A$29,$A70,'1 · BBDD Casos incluidos'!$AJ$2:$AJ$29,1)&gt;0,1,0)</f>
        <v>1</v>
      </c>
      <c r="E70" s="34" t="n">
        <f aca="false">IF(COUNTIFS('1 · BBDD Casos incluidos'!$A$2:$A$29,$A70,'1 · BBDD Casos incluidos'!$AK$2:$AK$29,1)&gt;0,1,0)</f>
        <v>0</v>
      </c>
    </row>
    <row r="71" customFormat="false" ht="15" hidden="false" customHeight="false" outlineLevel="0" collapsed="false">
      <c r="A71" s="6" t="str">
        <f aca="false">A5</f>
        <v>BR</v>
      </c>
      <c r="B71" s="34" t="n">
        <f aca="false">IF(COUNTIFS('1 · BBDD Casos incluidos'!$A$2:$A$29,$A71,'1 · BBDD Casos incluidos'!$AH$2:$AH$29,1)&gt;0,1,0)</f>
        <v>0</v>
      </c>
      <c r="C71" s="34" t="n">
        <f aca="false">IF(COUNTIFS('1 · BBDD Casos incluidos'!$A$2:$A$29,$A71,'1 · BBDD Casos incluidos'!$AI$2:$AI$29,1)&gt;0,1,0)</f>
        <v>1</v>
      </c>
      <c r="D71" s="34" t="n">
        <f aca="false">IF(COUNTIFS('1 · BBDD Casos incluidos'!$A$2:$A$29,$A71,'1 · BBDD Casos incluidos'!$AJ$2:$AJ$29,1)&gt;0,1,0)</f>
        <v>1</v>
      </c>
      <c r="E71" s="34" t="n">
        <f aca="false">IF(COUNTIFS('1 · BBDD Casos incluidos'!$A$2:$A$29,$A71,'1 · BBDD Casos incluidos'!$AK$2:$AK$29,1)&gt;0,1,0)</f>
        <v>1</v>
      </c>
    </row>
    <row r="72" customFormat="false" ht="15" hidden="false" customHeight="false" outlineLevel="0" collapsed="false">
      <c r="A72" s="6" t="str">
        <f aca="false">A6</f>
        <v>CL</v>
      </c>
      <c r="B72" s="34" t="n">
        <f aca="false">IF(COUNTIFS('1 · BBDD Casos incluidos'!$A$2:$A$29,$A72,'1 · BBDD Casos incluidos'!$AH$2:$AH$29,1)&gt;0,1,0)</f>
        <v>1</v>
      </c>
      <c r="C72" s="34" t="n">
        <f aca="false">IF(COUNTIFS('1 · BBDD Casos incluidos'!$A$2:$A$29,$A72,'1 · BBDD Casos incluidos'!$AI$2:$AI$29,1)&gt;0,1,0)</f>
        <v>1</v>
      </c>
      <c r="D72" s="34" t="n">
        <f aca="false">IF(COUNTIFS('1 · BBDD Casos incluidos'!$A$2:$A$29,$A72,'1 · BBDD Casos incluidos'!$AJ$2:$AJ$29,1)&gt;0,1,0)</f>
        <v>1</v>
      </c>
      <c r="E72" s="34" t="n">
        <f aca="false">IF(COUNTIFS('1 · BBDD Casos incluidos'!$A$2:$A$29,$A72,'1 · BBDD Casos incluidos'!$AK$2:$AK$29,1)&gt;0,1,0)</f>
        <v>0</v>
      </c>
    </row>
    <row r="73" customFormat="false" ht="15" hidden="false" customHeight="false" outlineLevel="0" collapsed="false">
      <c r="A73" s="6" t="str">
        <f aca="false">A7</f>
        <v>CO</v>
      </c>
      <c r="B73" s="34" t="n">
        <f aca="false">IF(COUNTIFS('1 · BBDD Casos incluidos'!$A$2:$A$29,$A73,'1 · BBDD Casos incluidos'!$AH$2:$AH$29,1)&gt;0,1,0)</f>
        <v>0</v>
      </c>
      <c r="C73" s="34" t="n">
        <f aca="false">IF(COUNTIFS('1 · BBDD Casos incluidos'!$A$2:$A$29,$A73,'1 · BBDD Casos incluidos'!$AI$2:$AI$29,1)&gt;0,1,0)</f>
        <v>1</v>
      </c>
      <c r="D73" s="34" t="n">
        <f aca="false">IF(COUNTIFS('1 · BBDD Casos incluidos'!$A$2:$A$29,$A73,'1 · BBDD Casos incluidos'!$AJ$2:$AJ$29,1)&gt;0,1,0)</f>
        <v>1</v>
      </c>
      <c r="E73" s="34" t="n">
        <f aca="false">IF(COUNTIFS('1 · BBDD Casos incluidos'!$A$2:$A$29,$A73,'1 · BBDD Casos incluidos'!$AK$2:$AK$29,1)&gt;0,1,0)</f>
        <v>0</v>
      </c>
    </row>
    <row r="74" customFormat="false" ht="15" hidden="false" customHeight="false" outlineLevel="0" collapsed="false">
      <c r="A74" s="6" t="str">
        <f aca="false">A8</f>
        <v>CR</v>
      </c>
      <c r="B74" s="34" t="n">
        <f aca="false">IF(COUNTIFS('1 · BBDD Casos incluidos'!$A$2:$A$29,$A74,'1 · BBDD Casos incluidos'!$AH$2:$AH$29,1)&gt;0,1,0)</f>
        <v>0</v>
      </c>
      <c r="C74" s="34" t="n">
        <f aca="false">IF(COUNTIFS('1 · BBDD Casos incluidos'!$A$2:$A$29,$A74,'1 · BBDD Casos incluidos'!$AI$2:$AI$29,1)&gt;0,1,0)</f>
        <v>0</v>
      </c>
      <c r="D74" s="34" t="n">
        <f aca="false">IF(COUNTIFS('1 · BBDD Casos incluidos'!$A$2:$A$29,$A74,'1 · BBDD Casos incluidos'!$AJ$2:$AJ$29,1)&gt;0,1,0)</f>
        <v>0</v>
      </c>
      <c r="E74" s="34" t="n">
        <f aca="false">IF(COUNTIFS('1 · BBDD Casos incluidos'!$A$2:$A$29,$A74,'1 · BBDD Casos incluidos'!$AK$2:$AK$29,1)&gt;0,1,0)</f>
        <v>0</v>
      </c>
    </row>
    <row r="75" customFormat="false" ht="15" hidden="false" customHeight="false" outlineLevel="0" collapsed="false">
      <c r="A75" s="6" t="str">
        <f aca="false">A9</f>
        <v>CU</v>
      </c>
      <c r="B75" s="34" t="n">
        <f aca="false">IF(COUNTIFS('1 · BBDD Casos incluidos'!$A$2:$A$29,$A75,'1 · BBDD Casos incluidos'!$AH$2:$AH$29,1)&gt;0,1,0)</f>
        <v>0</v>
      </c>
      <c r="C75" s="34" t="n">
        <f aca="false">IF(COUNTIFS('1 · BBDD Casos incluidos'!$A$2:$A$29,$A75,'1 · BBDD Casos incluidos'!$AI$2:$AI$29,1)&gt;0,1,0)</f>
        <v>0</v>
      </c>
      <c r="D75" s="34" t="n">
        <f aca="false">IF(COUNTIFS('1 · BBDD Casos incluidos'!$A$2:$A$29,$A75,'1 · BBDD Casos incluidos'!$AJ$2:$AJ$29,1)&gt;0,1,0)</f>
        <v>1</v>
      </c>
      <c r="E75" s="34" t="n">
        <f aca="false">IF(COUNTIFS('1 · BBDD Casos incluidos'!$A$2:$A$29,$A75,'1 · BBDD Casos incluidos'!$AK$2:$AK$29,1)&gt;0,1,0)</f>
        <v>0</v>
      </c>
    </row>
    <row r="76" customFormat="false" ht="15" hidden="false" customHeight="false" outlineLevel="0" collapsed="false">
      <c r="A76" s="6" t="str">
        <f aca="false">A10</f>
        <v>DO</v>
      </c>
      <c r="B76" s="34" t="n">
        <f aca="false">IF(COUNTIFS('1 · BBDD Casos incluidos'!$A$2:$A$29,$A76,'1 · BBDD Casos incluidos'!$AH$2:$AH$29,1)&gt;0,1,0)</f>
        <v>0</v>
      </c>
      <c r="C76" s="34" t="n">
        <f aca="false">IF(COUNTIFS('1 · BBDD Casos incluidos'!$A$2:$A$29,$A76,'1 · BBDD Casos incluidos'!$AI$2:$AI$29,1)&gt;0,1,0)</f>
        <v>0</v>
      </c>
      <c r="D76" s="34" t="n">
        <f aca="false">IF(COUNTIFS('1 · BBDD Casos incluidos'!$A$2:$A$29,$A76,'1 · BBDD Casos incluidos'!$AJ$2:$AJ$29,1)&gt;0,1,0)</f>
        <v>0</v>
      </c>
      <c r="E76" s="34" t="n">
        <f aca="false">IF(COUNTIFS('1 · BBDD Casos incluidos'!$A$2:$A$29,$A76,'1 · BBDD Casos incluidos'!$AK$2:$AK$29,1)&gt;0,1,0)</f>
        <v>0</v>
      </c>
    </row>
    <row r="77" customFormat="false" ht="15" hidden="false" customHeight="false" outlineLevel="0" collapsed="false">
      <c r="A77" s="6" t="str">
        <f aca="false">A11</f>
        <v>EC</v>
      </c>
      <c r="B77" s="34" t="n">
        <f aca="false">IF(COUNTIFS('1 · BBDD Casos incluidos'!$A$2:$A$29,$A77,'1 · BBDD Casos incluidos'!$AH$2:$AH$29,1)&gt;0,1,0)</f>
        <v>0</v>
      </c>
      <c r="C77" s="34" t="n">
        <f aca="false">IF(COUNTIFS('1 · BBDD Casos incluidos'!$A$2:$A$29,$A77,'1 · BBDD Casos incluidos'!$AI$2:$AI$29,1)&gt;0,1,0)</f>
        <v>1</v>
      </c>
      <c r="D77" s="34" t="n">
        <f aca="false">IF(COUNTIFS('1 · BBDD Casos incluidos'!$A$2:$A$29,$A77,'1 · BBDD Casos incluidos'!$AJ$2:$AJ$29,1)&gt;0,1,0)</f>
        <v>0</v>
      </c>
      <c r="E77" s="34" t="n">
        <f aca="false">IF(COUNTIFS('1 · BBDD Casos incluidos'!$A$2:$A$29,$A77,'1 · BBDD Casos incluidos'!$AK$2:$AK$29,1)&gt;0,1,0)</f>
        <v>0</v>
      </c>
    </row>
    <row r="78" customFormat="false" ht="15" hidden="false" customHeight="false" outlineLevel="0" collapsed="false">
      <c r="A78" s="6" t="str">
        <f aca="false">A12</f>
        <v>GT</v>
      </c>
      <c r="B78" s="34" t="n">
        <f aca="false">IF(COUNTIFS('1 · BBDD Casos incluidos'!$A$2:$A$29,$A78,'1 · BBDD Casos incluidos'!$AH$2:$AH$29,1)&gt;0,1,0)</f>
        <v>0</v>
      </c>
      <c r="C78" s="34" t="n">
        <f aca="false">IF(COUNTIFS('1 · BBDD Casos incluidos'!$A$2:$A$29,$A78,'1 · BBDD Casos incluidos'!$AI$2:$AI$29,1)&gt;0,1,0)</f>
        <v>1</v>
      </c>
      <c r="D78" s="34" t="n">
        <f aca="false">IF(COUNTIFS('1 · BBDD Casos incluidos'!$A$2:$A$29,$A78,'1 · BBDD Casos incluidos'!$AJ$2:$AJ$29,1)&gt;0,1,0)</f>
        <v>1</v>
      </c>
      <c r="E78" s="34" t="n">
        <f aca="false">IF(COUNTIFS('1 · BBDD Casos incluidos'!$A$2:$A$29,$A78,'1 · BBDD Casos incluidos'!$AK$2:$AK$29,1)&gt;0,1,0)</f>
        <v>0</v>
      </c>
    </row>
    <row r="79" customFormat="false" ht="15" hidden="false" customHeight="false" outlineLevel="0" collapsed="false">
      <c r="A79" s="6" t="str">
        <f aca="false">A13</f>
        <v>HN</v>
      </c>
      <c r="B79" s="34" t="n">
        <f aca="false">IF(COUNTIFS('1 · BBDD Casos incluidos'!$A$2:$A$29,$A79,'1 · BBDD Casos incluidos'!$AH$2:$AH$29,1)&gt;0,1,0)</f>
        <v>0</v>
      </c>
      <c r="C79" s="34" t="n">
        <f aca="false">IF(COUNTIFS('1 · BBDD Casos incluidos'!$A$2:$A$29,$A79,'1 · BBDD Casos incluidos'!$AI$2:$AI$29,1)&gt;0,1,0)</f>
        <v>0</v>
      </c>
      <c r="D79" s="34" t="n">
        <f aca="false">IF(COUNTIFS('1 · BBDD Casos incluidos'!$A$2:$A$29,$A79,'1 · BBDD Casos incluidos'!$AJ$2:$AJ$29,1)&gt;0,1,0)</f>
        <v>0</v>
      </c>
      <c r="E79" s="34" t="n">
        <f aca="false">IF(COUNTIFS('1 · BBDD Casos incluidos'!$A$2:$A$29,$A79,'1 · BBDD Casos incluidos'!$AK$2:$AK$29,1)&gt;0,1,0)</f>
        <v>0</v>
      </c>
    </row>
    <row r="80" customFormat="false" ht="15" hidden="false" customHeight="false" outlineLevel="0" collapsed="false">
      <c r="A80" s="6" t="str">
        <f aca="false">A14</f>
        <v>JM</v>
      </c>
      <c r="B80" s="34" t="n">
        <f aca="false">IF(COUNTIFS('1 · BBDD Casos incluidos'!$A$2:$A$29,$A80,'1 · BBDD Casos incluidos'!$AH$2:$AH$29,1)&gt;0,1,0)</f>
        <v>0</v>
      </c>
      <c r="C80" s="34" t="n">
        <f aca="false">IF(COUNTIFS('1 · BBDD Casos incluidos'!$A$2:$A$29,$A80,'1 · BBDD Casos incluidos'!$AI$2:$AI$29,1)&gt;0,1,0)</f>
        <v>0</v>
      </c>
      <c r="D80" s="34" t="n">
        <f aca="false">IF(COUNTIFS('1 · BBDD Casos incluidos'!$A$2:$A$29,$A80,'1 · BBDD Casos incluidos'!$AJ$2:$AJ$29,1)&gt;0,1,0)</f>
        <v>0</v>
      </c>
      <c r="E80" s="34" t="n">
        <f aca="false">IF(COUNTIFS('1 · BBDD Casos incluidos'!$A$2:$A$29,$A80,'1 · BBDD Casos incluidos'!$AK$2:$AK$29,1)&gt;0,1,0)</f>
        <v>0</v>
      </c>
    </row>
    <row r="81" customFormat="false" ht="15" hidden="false" customHeight="false" outlineLevel="0" collapsed="false">
      <c r="A81" s="6" t="str">
        <f aca="false">A15</f>
        <v>MX</v>
      </c>
      <c r="B81" s="34" t="n">
        <f aca="false">IF(COUNTIFS('1 · BBDD Casos incluidos'!$A$2:$A$29,$A81,'1 · BBDD Casos incluidos'!$AH$2:$AH$29,1)&gt;0,1,0)</f>
        <v>0</v>
      </c>
      <c r="C81" s="34" t="n">
        <f aca="false">IF(COUNTIFS('1 · BBDD Casos incluidos'!$A$2:$A$29,$A81,'1 · BBDD Casos incluidos'!$AI$2:$AI$29,1)&gt;0,1,0)</f>
        <v>0</v>
      </c>
      <c r="D81" s="34" t="n">
        <f aca="false">IF(COUNTIFS('1 · BBDD Casos incluidos'!$A$2:$A$29,$A81,'1 · BBDD Casos incluidos'!$AJ$2:$AJ$29,1)&gt;0,1,0)</f>
        <v>1</v>
      </c>
      <c r="E81" s="34" t="n">
        <f aca="false">IF(COUNTIFS('1 · BBDD Casos incluidos'!$A$2:$A$29,$A81,'1 · BBDD Casos incluidos'!$AK$2:$AK$29,1)&gt;0,1,0)</f>
        <v>0</v>
      </c>
    </row>
    <row r="82" customFormat="false" ht="15" hidden="false" customHeight="false" outlineLevel="0" collapsed="false">
      <c r="A82" s="6" t="str">
        <f aca="false">A16</f>
        <v>PA</v>
      </c>
      <c r="B82" s="34" t="n">
        <f aca="false">IF(COUNTIFS('1 · BBDD Casos incluidos'!$A$2:$A$29,$A82,'1 · BBDD Casos incluidos'!$AH$2:$AH$29,1)&gt;0,1,0)</f>
        <v>0</v>
      </c>
      <c r="C82" s="34" t="n">
        <f aca="false">IF(COUNTIFS('1 · BBDD Casos incluidos'!$A$2:$A$29,$A82,'1 · BBDD Casos incluidos'!$AI$2:$AI$29,1)&gt;0,1,0)</f>
        <v>0</v>
      </c>
      <c r="D82" s="34" t="n">
        <f aca="false">IF(COUNTIFS('1 · BBDD Casos incluidos'!$A$2:$A$29,$A82,'1 · BBDD Casos incluidos'!$AJ$2:$AJ$29,1)&gt;0,1,0)</f>
        <v>0</v>
      </c>
      <c r="E82" s="34" t="n">
        <f aca="false">IF(COUNTIFS('1 · BBDD Casos incluidos'!$A$2:$A$29,$A82,'1 · BBDD Casos incluidos'!$AK$2:$AK$29,1)&gt;0,1,0)</f>
        <v>1</v>
      </c>
    </row>
    <row r="83" customFormat="false" ht="15" hidden="false" customHeight="false" outlineLevel="0" collapsed="false">
      <c r="A83" s="6" t="str">
        <f aca="false">A17</f>
        <v>PE</v>
      </c>
      <c r="B83" s="34" t="n">
        <f aca="false">IF(COUNTIFS('1 · BBDD Casos incluidos'!$A$2:$A$29,$A83,'1 · BBDD Casos incluidos'!$AH$2:$AH$29,1)&gt;0,1,0)</f>
        <v>0</v>
      </c>
      <c r="C83" s="34" t="n">
        <f aca="false">IF(COUNTIFS('1 · BBDD Casos incluidos'!$A$2:$A$29,$A83,'1 · BBDD Casos incluidos'!$AI$2:$AI$29,1)&gt;0,1,0)</f>
        <v>0</v>
      </c>
      <c r="D83" s="34" t="n">
        <f aca="false">IF(COUNTIFS('1 · BBDD Casos incluidos'!$A$2:$A$29,$A83,'1 · BBDD Casos incluidos'!$AJ$2:$AJ$29,1)&gt;0,1,0)</f>
        <v>1</v>
      </c>
      <c r="E83" s="34" t="n">
        <f aca="false">IF(COUNTIFS('1 · BBDD Casos incluidos'!$A$2:$A$29,$A83,'1 · BBDD Casos incluidos'!$AK$2:$AK$29,1)&gt;0,1,0)</f>
        <v>0</v>
      </c>
    </row>
    <row r="84" customFormat="false" ht="15" hidden="false" customHeight="false" outlineLevel="0" collapsed="false">
      <c r="A84" s="6" t="str">
        <f aca="false">A18</f>
        <v>PY</v>
      </c>
      <c r="B84" s="34" t="n">
        <f aca="false">IF(COUNTIFS('1 · BBDD Casos incluidos'!$A$2:$A$29,$A84,'1 · BBDD Casos incluidos'!$AH$2:$AH$29,1)&gt;0,1,0)</f>
        <v>0</v>
      </c>
      <c r="C84" s="34" t="n">
        <f aca="false">IF(COUNTIFS('1 · BBDD Casos incluidos'!$A$2:$A$29,$A84,'1 · BBDD Casos incluidos'!$AI$2:$AI$29,1)&gt;0,1,0)</f>
        <v>0</v>
      </c>
      <c r="D84" s="34" t="n">
        <f aca="false">IF(COUNTIFS('1 · BBDD Casos incluidos'!$A$2:$A$29,$A84,'1 · BBDD Casos incluidos'!$AJ$2:$AJ$29,1)&gt;0,1,0)</f>
        <v>0</v>
      </c>
      <c r="E84" s="34" t="n">
        <f aca="false">IF(COUNTIFS('1 · BBDD Casos incluidos'!$A$2:$A$29,$A84,'1 · BBDD Casos incluidos'!$AK$2:$AK$29,1)&gt;0,1,0)</f>
        <v>0</v>
      </c>
    </row>
    <row r="85" customFormat="false" ht="15" hidden="false" customHeight="false" outlineLevel="0" collapsed="false">
      <c r="A85" s="6" t="str">
        <f aca="false">A19</f>
        <v>SV</v>
      </c>
      <c r="B85" s="34" t="n">
        <f aca="false">IF(COUNTIFS('1 · BBDD Casos incluidos'!$A$2:$A$29,$A85,'1 · BBDD Casos incluidos'!$AH$2:$AH$29,1)&gt;0,1,0)</f>
        <v>0</v>
      </c>
      <c r="C85" s="34" t="n">
        <f aca="false">IF(COUNTIFS('1 · BBDD Casos incluidos'!$A$2:$A$29,$A85,'1 · BBDD Casos incluidos'!$AI$2:$AI$29,1)&gt;0,1,0)</f>
        <v>0</v>
      </c>
      <c r="D85" s="34" t="n">
        <f aca="false">IF(COUNTIFS('1 · BBDD Casos incluidos'!$A$2:$A$29,$A85,'1 · BBDD Casos incluidos'!$AJ$2:$AJ$29,1)&gt;0,1,0)</f>
        <v>0</v>
      </c>
      <c r="E85" s="34" t="n">
        <f aca="false">IF(COUNTIFS('1 · BBDD Casos incluidos'!$A$2:$A$29,$A85,'1 · BBDD Casos incluidos'!$AK$2:$AK$29,1)&gt;0,1,0)</f>
        <v>0</v>
      </c>
    </row>
    <row r="86" customFormat="false" ht="15" hidden="false" customHeight="false" outlineLevel="0" collapsed="false">
      <c r="A86" s="6" t="str">
        <f aca="false">A20</f>
        <v>TT</v>
      </c>
      <c r="B86" s="34" t="n">
        <f aca="false">IF(COUNTIFS('1 · BBDD Casos incluidos'!$A$2:$A$29,$A86,'1 · BBDD Casos incluidos'!$AH$2:$AH$29,1)&gt;0,1,0)</f>
        <v>0</v>
      </c>
      <c r="C86" s="34" t="n">
        <f aca="false">IF(COUNTIFS('1 · BBDD Casos incluidos'!$A$2:$A$29,$A86,'1 · BBDD Casos incluidos'!$AI$2:$AI$29,1)&gt;0,1,0)</f>
        <v>0</v>
      </c>
      <c r="D86" s="34" t="n">
        <f aca="false">IF(COUNTIFS('1 · BBDD Casos incluidos'!$A$2:$A$29,$A86,'1 · BBDD Casos incluidos'!$AJ$2:$AJ$29,1)&gt;0,1,0)</f>
        <v>0</v>
      </c>
      <c r="E86" s="34" t="n">
        <f aca="false">IF(COUNTIFS('1 · BBDD Casos incluidos'!$A$2:$A$29,$A86,'1 · BBDD Casos incluidos'!$AK$2:$AK$29,1)&gt;0,1,0)</f>
        <v>0</v>
      </c>
    </row>
    <row r="87" customFormat="false" ht="15" hidden="false" customHeight="false" outlineLevel="0" collapsed="false">
      <c r="A87" s="6" t="str">
        <f aca="false">A21</f>
        <v>UY</v>
      </c>
      <c r="B87" s="34" t="n">
        <f aca="false">IF(COUNTIFS('1 · BBDD Casos incluidos'!$A$2:$A$29,$A87,'1 · BBDD Casos incluidos'!$AH$2:$AH$29,1)&gt;0,1,0)</f>
        <v>0</v>
      </c>
      <c r="C87" s="34" t="n">
        <f aca="false">IF(COUNTIFS('1 · BBDD Casos incluidos'!$A$2:$A$29,$A87,'1 · BBDD Casos incluidos'!$AI$2:$AI$29,1)&gt;0,1,0)</f>
        <v>0</v>
      </c>
      <c r="D87" s="34" t="n">
        <f aca="false">IF(COUNTIFS('1 · BBDD Casos incluidos'!$A$2:$A$29,$A87,'1 · BBDD Casos incluidos'!$AJ$2:$AJ$29,1)&gt;0,1,0)</f>
        <v>1</v>
      </c>
      <c r="E87" s="34" t="n">
        <f aca="false">IF(COUNTIFS('1 · BBDD Casos incluidos'!$A$2:$A$29,$A87,'1 · BBDD Casos incluidos'!$AK$2:$AK$29,1)&gt;0,1,0)</f>
        <v>0</v>
      </c>
    </row>
    <row r="88" customFormat="false" ht="15" hidden="false" customHeight="false" outlineLevel="0" collapsed="false">
      <c r="A88" s="6" t="str">
        <f aca="false">A22</f>
        <v>VE</v>
      </c>
      <c r="B88" s="34" t="n">
        <f aca="false">IF(COUNTIFS('1 · BBDD Casos incluidos'!$A$2:$A$29,$A88,'1 · BBDD Casos incluidos'!$AH$2:$AH$29,1)&gt;0,1,0)</f>
        <v>0</v>
      </c>
      <c r="C88" s="34" t="n">
        <f aca="false">IF(COUNTIFS('1 · BBDD Casos incluidos'!$A$2:$A$29,$A88,'1 · BBDD Casos incluidos'!$AI$2:$AI$29,1)&gt;0,1,0)</f>
        <v>0</v>
      </c>
      <c r="D88" s="34" t="n">
        <f aca="false">IF(COUNTIFS('1 · BBDD Casos incluidos'!$A$2:$A$29,$A88,'1 · BBDD Casos incluidos'!$AJ$2:$AJ$29,1)&gt;0,1,0)</f>
        <v>1</v>
      </c>
      <c r="E88" s="34" t="n">
        <f aca="false">IF(COUNTIFS('1 · BBDD Casos incluidos'!$A$2:$A$29,$A88,'1 · BBDD Casos incluidos'!$AK$2:$AK$29,1)&gt;0,1,0)</f>
        <v>0</v>
      </c>
    </row>
    <row r="91" customFormat="false" ht="15" hidden="false" customHeight="false" outlineLevel="0" collapsed="false">
      <c r="A91" s="32" t="s">
        <v>357</v>
      </c>
    </row>
    <row r="92" customFormat="false" ht="15" hidden="false" customHeight="false" outlineLevel="0" collapsed="false">
      <c r="A92" s="33" t="s">
        <v>306</v>
      </c>
      <c r="B92" s="33" t="s">
        <v>117</v>
      </c>
      <c r="C92" s="33" t="s">
        <v>64</v>
      </c>
      <c r="D92" s="33" t="s">
        <v>280</v>
      </c>
    </row>
    <row r="93" customFormat="false" ht="15" hidden="false" customHeight="false" outlineLevel="0" collapsed="false">
      <c r="A93" s="6" t="str">
        <f aca="false">A3</f>
        <v>AR</v>
      </c>
      <c r="B93" s="34" t="n">
        <f aca="false">IF(COUNTIFS('1 · BBDD Casos incluidos'!$A$2:$A$29,$A93,'1 · BBDD Casos incluidos'!$AL$2:$AL$29,1)&gt;0,1,0)</f>
        <v>0</v>
      </c>
      <c r="C93" s="34" t="n">
        <f aca="false">IF(COUNTIFS('1 · BBDD Casos incluidos'!$A$2:$A$29,$A93,'1 · BBDD Casos incluidos'!$AM$2:$AM$29,1)&gt;0,1,0)</f>
        <v>0</v>
      </c>
      <c r="D93" s="34" t="n">
        <f aca="false">IF(COUNTIFS('1 · BBDD Casos incluidos'!$A$2:$A$29,$A93,'1 · BBDD Casos incluidos'!$AN$2:$AN$29,1)&gt;0,1,0)</f>
        <v>0</v>
      </c>
    </row>
    <row r="94" customFormat="false" ht="15" hidden="false" customHeight="false" outlineLevel="0" collapsed="false">
      <c r="A94" s="6" t="str">
        <f aca="false">A4</f>
        <v>BO</v>
      </c>
      <c r="B94" s="34" t="n">
        <f aca="false">IF(COUNTIFS('1 · BBDD Casos incluidos'!$A$2:$A$29,$A94,'1 · BBDD Casos incluidos'!$AL$2:$AL$29,1)&gt;0,1,0)</f>
        <v>0</v>
      </c>
      <c r="C94" s="34" t="n">
        <f aca="false">IF(COUNTIFS('1 · BBDD Casos incluidos'!$A$2:$A$29,$A94,'1 · BBDD Casos incluidos'!$AM$2:$AM$29,1)&gt;0,1,0)</f>
        <v>1</v>
      </c>
      <c r="D94" s="34" t="n">
        <f aca="false">IF(COUNTIFS('1 · BBDD Casos incluidos'!$A$2:$A$29,$A94,'1 · BBDD Casos incluidos'!$AN$2:$AN$29,1)&gt;0,1,0)</f>
        <v>0</v>
      </c>
    </row>
    <row r="95" customFormat="false" ht="15" hidden="false" customHeight="false" outlineLevel="0" collapsed="false">
      <c r="A95" s="6" t="str">
        <f aca="false">A5</f>
        <v>BR</v>
      </c>
      <c r="B95" s="34" t="n">
        <f aca="false">IF(COUNTIFS('1 · BBDD Casos incluidos'!$A$2:$A$29,$A95,'1 · BBDD Casos incluidos'!$AL$2:$AL$29,1)&gt;0,1,0)</f>
        <v>1</v>
      </c>
      <c r="C95" s="34" t="n">
        <f aca="false">IF(COUNTIFS('1 · BBDD Casos incluidos'!$A$2:$A$29,$A95,'1 · BBDD Casos incluidos'!$AM$2:$AM$29,1)&gt;0,1,0)</f>
        <v>1</v>
      </c>
      <c r="D95" s="34" t="n">
        <f aca="false">IF(COUNTIFS('1 · BBDD Casos incluidos'!$A$2:$A$29,$A95,'1 · BBDD Casos incluidos'!$AN$2:$AN$29,1)&gt;0,1,0)</f>
        <v>0</v>
      </c>
    </row>
    <row r="96" customFormat="false" ht="15" hidden="false" customHeight="false" outlineLevel="0" collapsed="false">
      <c r="A96" s="6" t="str">
        <f aca="false">A6</f>
        <v>CL</v>
      </c>
      <c r="B96" s="34" t="n">
        <f aca="false">IF(COUNTIFS('1 · BBDD Casos incluidos'!$A$2:$A$29,$A96,'1 · BBDD Casos incluidos'!$AL$2:$AL$29,1)&gt;0,1,0)</f>
        <v>0</v>
      </c>
      <c r="C96" s="34" t="n">
        <f aca="false">IF(COUNTIFS('1 · BBDD Casos incluidos'!$A$2:$A$29,$A96,'1 · BBDD Casos incluidos'!$AM$2:$AM$29,1)&gt;0,1,0)</f>
        <v>1</v>
      </c>
      <c r="D96" s="34" t="n">
        <f aca="false">IF(COUNTIFS('1 · BBDD Casos incluidos'!$A$2:$A$29,$A96,'1 · BBDD Casos incluidos'!$AN$2:$AN$29,1)&gt;0,1,0)</f>
        <v>0</v>
      </c>
    </row>
    <row r="97" customFormat="false" ht="15" hidden="false" customHeight="false" outlineLevel="0" collapsed="false">
      <c r="A97" s="6" t="str">
        <f aca="false">A7</f>
        <v>CO</v>
      </c>
      <c r="B97" s="34" t="n">
        <f aca="false">IF(COUNTIFS('1 · BBDD Casos incluidos'!$A$2:$A$29,$A97,'1 · BBDD Casos incluidos'!$AL$2:$AL$29,1)&gt;0,1,0)</f>
        <v>1</v>
      </c>
      <c r="C97" s="34" t="n">
        <f aca="false">IF(COUNTIFS('1 · BBDD Casos incluidos'!$A$2:$A$29,$A97,'1 · BBDD Casos incluidos'!$AM$2:$AM$29,1)&gt;0,1,0)</f>
        <v>0</v>
      </c>
      <c r="D97" s="34" t="n">
        <f aca="false">IF(COUNTIFS('1 · BBDD Casos incluidos'!$A$2:$A$29,$A97,'1 · BBDD Casos incluidos'!$AN$2:$AN$29,1)&gt;0,1,0)</f>
        <v>0</v>
      </c>
    </row>
    <row r="98" customFormat="false" ht="15" hidden="false" customHeight="false" outlineLevel="0" collapsed="false">
      <c r="A98" s="6" t="str">
        <f aca="false">A8</f>
        <v>CR</v>
      </c>
      <c r="B98" s="34" t="n">
        <f aca="false">IF(COUNTIFS('1 · BBDD Casos incluidos'!$A$2:$A$29,$A98,'1 · BBDD Casos incluidos'!$AL$2:$AL$29,1)&gt;0,1,0)</f>
        <v>0</v>
      </c>
      <c r="C98" s="34" t="n">
        <f aca="false">IF(COUNTIFS('1 · BBDD Casos incluidos'!$A$2:$A$29,$A98,'1 · BBDD Casos incluidos'!$AM$2:$AM$29,1)&gt;0,1,0)</f>
        <v>0</v>
      </c>
      <c r="D98" s="34" t="n">
        <f aca="false">IF(COUNTIFS('1 · BBDD Casos incluidos'!$A$2:$A$29,$A98,'1 · BBDD Casos incluidos'!$AN$2:$AN$29,1)&gt;0,1,0)</f>
        <v>0</v>
      </c>
    </row>
    <row r="99" customFormat="false" ht="15" hidden="false" customHeight="false" outlineLevel="0" collapsed="false">
      <c r="A99" s="6" t="str">
        <f aca="false">A9</f>
        <v>CU</v>
      </c>
      <c r="B99" s="34" t="n">
        <f aca="false">IF(COUNTIFS('1 · BBDD Casos incluidos'!$A$2:$A$29,$A99,'1 · BBDD Casos incluidos'!$AL$2:$AL$29,1)&gt;0,1,0)</f>
        <v>0</v>
      </c>
      <c r="C99" s="34" t="n">
        <f aca="false">IF(COUNTIFS('1 · BBDD Casos incluidos'!$A$2:$A$29,$A99,'1 · BBDD Casos incluidos'!$AM$2:$AM$29,1)&gt;0,1,0)</f>
        <v>1</v>
      </c>
      <c r="D99" s="34" t="n">
        <f aca="false">IF(COUNTIFS('1 · BBDD Casos incluidos'!$A$2:$A$29,$A99,'1 · BBDD Casos incluidos'!$AN$2:$AN$29,1)&gt;0,1,0)</f>
        <v>0</v>
      </c>
    </row>
    <row r="100" customFormat="false" ht="15" hidden="false" customHeight="false" outlineLevel="0" collapsed="false">
      <c r="A100" s="6" t="str">
        <f aca="false">A10</f>
        <v>DO</v>
      </c>
      <c r="B100" s="34" t="n">
        <f aca="false">IF(COUNTIFS('1 · BBDD Casos incluidos'!$A$2:$A$29,$A100,'1 · BBDD Casos incluidos'!$AL$2:$AL$29,1)&gt;0,1,0)</f>
        <v>0</v>
      </c>
      <c r="C100" s="34" t="n">
        <f aca="false">IF(COUNTIFS('1 · BBDD Casos incluidos'!$A$2:$A$29,$A100,'1 · BBDD Casos incluidos'!$AM$2:$AM$29,1)&gt;0,1,0)</f>
        <v>0</v>
      </c>
      <c r="D100" s="34" t="n">
        <f aca="false">IF(COUNTIFS('1 · BBDD Casos incluidos'!$A$2:$A$29,$A100,'1 · BBDD Casos incluidos'!$AN$2:$AN$29,1)&gt;0,1,0)</f>
        <v>0</v>
      </c>
    </row>
    <row r="101" customFormat="false" ht="15" hidden="false" customHeight="false" outlineLevel="0" collapsed="false">
      <c r="A101" s="6" t="str">
        <f aca="false">A11</f>
        <v>EC</v>
      </c>
      <c r="B101" s="34" t="n">
        <f aca="false">IF(COUNTIFS('1 · BBDD Casos incluidos'!$A$2:$A$29,$A101,'1 · BBDD Casos incluidos'!$AL$2:$AL$29,1)&gt;0,1,0)</f>
        <v>0</v>
      </c>
      <c r="C101" s="34" t="n">
        <f aca="false">IF(COUNTIFS('1 · BBDD Casos incluidos'!$A$2:$A$29,$A101,'1 · BBDD Casos incluidos'!$AM$2:$AM$29,1)&gt;0,1,0)</f>
        <v>1</v>
      </c>
      <c r="D101" s="34" t="n">
        <f aca="false">IF(COUNTIFS('1 · BBDD Casos incluidos'!$A$2:$A$29,$A101,'1 · BBDD Casos incluidos'!$AN$2:$AN$29,1)&gt;0,1,0)</f>
        <v>0</v>
      </c>
    </row>
    <row r="102" customFormat="false" ht="15" hidden="false" customHeight="false" outlineLevel="0" collapsed="false">
      <c r="A102" s="6" t="str">
        <f aca="false">A12</f>
        <v>GT</v>
      </c>
      <c r="B102" s="34" t="n">
        <f aca="false">IF(COUNTIFS('1 · BBDD Casos incluidos'!$A$2:$A$29,$A102,'1 · BBDD Casos incluidos'!$AL$2:$AL$29,1)&gt;0,1,0)</f>
        <v>0</v>
      </c>
      <c r="C102" s="34" t="n">
        <f aca="false">IF(COUNTIFS('1 · BBDD Casos incluidos'!$A$2:$A$29,$A102,'1 · BBDD Casos incluidos'!$AM$2:$AM$29,1)&gt;0,1,0)</f>
        <v>0</v>
      </c>
      <c r="D102" s="34" t="n">
        <f aca="false">IF(COUNTIFS('1 · BBDD Casos incluidos'!$A$2:$A$29,$A102,'1 · BBDD Casos incluidos'!$AN$2:$AN$29,1)&gt;0,1,0)</f>
        <v>0</v>
      </c>
    </row>
    <row r="103" customFormat="false" ht="15" hidden="false" customHeight="false" outlineLevel="0" collapsed="false">
      <c r="A103" s="6" t="str">
        <f aca="false">A13</f>
        <v>HN</v>
      </c>
      <c r="B103" s="34" t="n">
        <f aca="false">IF(COUNTIFS('1 · BBDD Casos incluidos'!$A$2:$A$29,$A103,'1 · BBDD Casos incluidos'!$AL$2:$AL$29,1)&gt;0,1,0)</f>
        <v>0</v>
      </c>
      <c r="C103" s="34" t="n">
        <f aca="false">IF(COUNTIFS('1 · BBDD Casos incluidos'!$A$2:$A$29,$A103,'1 · BBDD Casos incluidos'!$AM$2:$AM$29,1)&gt;0,1,0)</f>
        <v>0</v>
      </c>
      <c r="D103" s="34" t="n">
        <f aca="false">IF(COUNTIFS('1 · BBDD Casos incluidos'!$A$2:$A$29,$A103,'1 · BBDD Casos incluidos'!$AN$2:$AN$29,1)&gt;0,1,0)</f>
        <v>0</v>
      </c>
    </row>
    <row r="104" customFormat="false" ht="15" hidden="false" customHeight="false" outlineLevel="0" collapsed="false">
      <c r="A104" s="6" t="str">
        <f aca="false">A14</f>
        <v>JM</v>
      </c>
      <c r="B104" s="34" t="n">
        <f aca="false">IF(COUNTIFS('1 · BBDD Casos incluidos'!$A$2:$A$29,$A104,'1 · BBDD Casos incluidos'!$AL$2:$AL$29,1)&gt;0,1,0)</f>
        <v>0</v>
      </c>
      <c r="C104" s="34" t="n">
        <f aca="false">IF(COUNTIFS('1 · BBDD Casos incluidos'!$A$2:$A$29,$A104,'1 · BBDD Casos incluidos'!$AM$2:$AM$29,1)&gt;0,1,0)</f>
        <v>0</v>
      </c>
      <c r="D104" s="34" t="n">
        <f aca="false">IF(COUNTIFS('1 · BBDD Casos incluidos'!$A$2:$A$29,$A104,'1 · BBDD Casos incluidos'!$AN$2:$AN$29,1)&gt;0,1,0)</f>
        <v>0</v>
      </c>
    </row>
    <row r="105" customFormat="false" ht="15" hidden="false" customHeight="false" outlineLevel="0" collapsed="false">
      <c r="A105" s="6" t="str">
        <f aca="false">A15</f>
        <v>MX</v>
      </c>
      <c r="B105" s="34" t="n">
        <f aca="false">IF(COUNTIFS('1 · BBDD Casos incluidos'!$A$2:$A$29,$A105,'1 · BBDD Casos incluidos'!$AL$2:$AL$29,1)&gt;0,1,0)</f>
        <v>1</v>
      </c>
      <c r="C105" s="34" t="n">
        <f aca="false">IF(COUNTIFS('1 · BBDD Casos incluidos'!$A$2:$A$29,$A105,'1 · BBDD Casos incluidos'!$AM$2:$AM$29,1)&gt;0,1,0)</f>
        <v>0</v>
      </c>
      <c r="D105" s="34" t="n">
        <f aca="false">IF(COUNTIFS('1 · BBDD Casos incluidos'!$A$2:$A$29,$A105,'1 · BBDD Casos incluidos'!$AN$2:$AN$29,1)&gt;0,1,0)</f>
        <v>0</v>
      </c>
    </row>
    <row r="106" customFormat="false" ht="15" hidden="false" customHeight="false" outlineLevel="0" collapsed="false">
      <c r="A106" s="6" t="str">
        <f aca="false">A16</f>
        <v>PA</v>
      </c>
      <c r="B106" s="34" t="n">
        <f aca="false">IF(COUNTIFS('1 · BBDD Casos incluidos'!$A$2:$A$29,$A106,'1 · BBDD Casos incluidos'!$AL$2:$AL$29,1)&gt;0,1,0)</f>
        <v>0</v>
      </c>
      <c r="C106" s="34" t="n">
        <f aca="false">IF(COUNTIFS('1 · BBDD Casos incluidos'!$A$2:$A$29,$A106,'1 · BBDD Casos incluidos'!$AM$2:$AM$29,1)&gt;0,1,0)</f>
        <v>1</v>
      </c>
      <c r="D106" s="34" t="n">
        <f aca="false">IF(COUNTIFS('1 · BBDD Casos incluidos'!$A$2:$A$29,$A106,'1 · BBDD Casos incluidos'!$AN$2:$AN$29,1)&gt;0,1,0)</f>
        <v>0</v>
      </c>
    </row>
    <row r="107" customFormat="false" ht="15" hidden="false" customHeight="false" outlineLevel="0" collapsed="false">
      <c r="A107" s="6" t="str">
        <f aca="false">A17</f>
        <v>PE</v>
      </c>
      <c r="B107" s="34" t="n">
        <f aca="false">IF(COUNTIFS('1 · BBDD Casos incluidos'!$A$2:$A$29,$A107,'1 · BBDD Casos incluidos'!$AL$2:$AL$29,1)&gt;0,1,0)</f>
        <v>0</v>
      </c>
      <c r="C107" s="34" t="n">
        <f aca="false">IF(COUNTIFS('1 · BBDD Casos incluidos'!$A$2:$A$29,$A107,'1 · BBDD Casos incluidos'!$AM$2:$AM$29,1)&gt;0,1,0)</f>
        <v>0</v>
      </c>
      <c r="D107" s="34" t="n">
        <f aca="false">IF(COUNTIFS('1 · BBDD Casos incluidos'!$A$2:$A$29,$A107,'1 · BBDD Casos incluidos'!$AN$2:$AN$29,1)&gt;0,1,0)</f>
        <v>1</v>
      </c>
    </row>
    <row r="108" customFormat="false" ht="15" hidden="false" customHeight="false" outlineLevel="0" collapsed="false">
      <c r="A108" s="6" t="str">
        <f aca="false">A18</f>
        <v>PY</v>
      </c>
      <c r="B108" s="34" t="n">
        <f aca="false">IF(COUNTIFS('1 · BBDD Casos incluidos'!$A$2:$A$29,$A108,'1 · BBDD Casos incluidos'!$AL$2:$AL$29,1)&gt;0,1,0)</f>
        <v>0</v>
      </c>
      <c r="C108" s="34" t="n">
        <f aca="false">IF(COUNTIFS('1 · BBDD Casos incluidos'!$A$2:$A$29,$A108,'1 · BBDD Casos incluidos'!$AM$2:$AM$29,1)&gt;0,1,0)</f>
        <v>0</v>
      </c>
      <c r="D108" s="34" t="n">
        <f aca="false">IF(COUNTIFS('1 · BBDD Casos incluidos'!$A$2:$A$29,$A108,'1 · BBDD Casos incluidos'!$AN$2:$AN$29,1)&gt;0,1,0)</f>
        <v>0</v>
      </c>
    </row>
    <row r="109" customFormat="false" ht="15" hidden="false" customHeight="false" outlineLevel="0" collapsed="false">
      <c r="A109" s="6" t="str">
        <f aca="false">A19</f>
        <v>SV</v>
      </c>
      <c r="B109" s="34" t="n">
        <f aca="false">IF(COUNTIFS('1 · BBDD Casos incluidos'!$A$2:$A$29,$A109,'1 · BBDD Casos incluidos'!$AL$2:$AL$29,1)&gt;0,1,0)</f>
        <v>0</v>
      </c>
      <c r="C109" s="34" t="n">
        <f aca="false">IF(COUNTIFS('1 · BBDD Casos incluidos'!$A$2:$A$29,$A109,'1 · BBDD Casos incluidos'!$AM$2:$AM$29,1)&gt;0,1,0)</f>
        <v>0</v>
      </c>
      <c r="D109" s="34" t="n">
        <f aca="false">IF(COUNTIFS('1 · BBDD Casos incluidos'!$A$2:$A$29,$A109,'1 · BBDD Casos incluidos'!$AN$2:$AN$29,1)&gt;0,1,0)</f>
        <v>0</v>
      </c>
    </row>
    <row r="110" customFormat="false" ht="15" hidden="false" customHeight="false" outlineLevel="0" collapsed="false">
      <c r="A110" s="6" t="str">
        <f aca="false">A20</f>
        <v>TT</v>
      </c>
      <c r="B110" s="34" t="n">
        <f aca="false">IF(COUNTIFS('1 · BBDD Casos incluidos'!$A$2:$A$29,$A110,'1 · BBDD Casos incluidos'!$AL$2:$AL$29,1)&gt;0,1,0)</f>
        <v>0</v>
      </c>
      <c r="C110" s="34" t="n">
        <f aca="false">IF(COUNTIFS('1 · BBDD Casos incluidos'!$A$2:$A$29,$A110,'1 · BBDD Casos incluidos'!$AM$2:$AM$29,1)&gt;0,1,0)</f>
        <v>0</v>
      </c>
      <c r="D110" s="34" t="n">
        <f aca="false">IF(COUNTIFS('1 · BBDD Casos incluidos'!$A$2:$A$29,$A110,'1 · BBDD Casos incluidos'!$AN$2:$AN$29,1)&gt;0,1,0)</f>
        <v>0</v>
      </c>
    </row>
    <row r="111" customFormat="false" ht="15" hidden="false" customHeight="false" outlineLevel="0" collapsed="false">
      <c r="A111" s="6" t="str">
        <f aca="false">A21</f>
        <v>UY</v>
      </c>
      <c r="B111" s="34" t="n">
        <f aca="false">IF(COUNTIFS('1 · BBDD Casos incluidos'!$A$2:$A$29,$A111,'1 · BBDD Casos incluidos'!$AL$2:$AL$29,1)&gt;0,1,0)</f>
        <v>0</v>
      </c>
      <c r="C111" s="34" t="n">
        <f aca="false">IF(COUNTIFS('1 · BBDD Casos incluidos'!$A$2:$A$29,$A111,'1 · BBDD Casos incluidos'!$AM$2:$AM$29,1)&gt;0,1,0)</f>
        <v>0</v>
      </c>
      <c r="D111" s="34" t="n">
        <f aca="false">IF(COUNTIFS('1 · BBDD Casos incluidos'!$A$2:$A$29,$A111,'1 · BBDD Casos incluidos'!$AN$2:$AN$29,1)&gt;0,1,0)</f>
        <v>0</v>
      </c>
    </row>
    <row r="112" customFormat="false" ht="15" hidden="false" customHeight="false" outlineLevel="0" collapsed="false">
      <c r="A112" s="6" t="str">
        <f aca="false">A22</f>
        <v>VE</v>
      </c>
      <c r="B112" s="34" t="n">
        <f aca="false">IF(COUNTIFS('1 · BBDD Casos incluidos'!$A$2:$A$29,$A112,'1 · BBDD Casos incluidos'!$AL$2:$AL$29,1)&gt;0,1,0)</f>
        <v>0</v>
      </c>
      <c r="C112" s="34" t="n">
        <f aca="false">IF(COUNTIFS('1 · BBDD Casos incluidos'!$A$2:$A$29,$A112,'1 · BBDD Casos incluidos'!$AM$2:$AM$29,1)&gt;0,1,0)</f>
        <v>1</v>
      </c>
      <c r="D112" s="34" t="n">
        <f aca="false">IF(COUNTIFS('1 · BBDD Casos incluidos'!$A$2:$A$29,$A112,'1 · BBDD Casos incluidos'!$AN$2:$AN$29,1)&gt;0,1,0)</f>
        <v>0</v>
      </c>
    </row>
    <row r="115" customFormat="false" ht="15" hidden="false" customHeight="false" outlineLevel="0" collapsed="false">
      <c r="A115" s="32" t="s">
        <v>358</v>
      </c>
    </row>
    <row r="116" customFormat="false" ht="15" hidden="false" customHeight="false" outlineLevel="0" collapsed="false">
      <c r="A116" s="33" t="s">
        <v>306</v>
      </c>
      <c r="B116" s="33" t="s">
        <v>359</v>
      </c>
      <c r="C116" s="33" t="s">
        <v>174</v>
      </c>
      <c r="D116" s="33" t="s">
        <v>360</v>
      </c>
      <c r="E116" s="33" t="s">
        <v>361</v>
      </c>
    </row>
    <row r="117" customFormat="false" ht="15" hidden="false" customHeight="false" outlineLevel="0" collapsed="false">
      <c r="A117" s="6" t="str">
        <f aca="false">A3</f>
        <v>AR</v>
      </c>
      <c r="B117" s="34" t="n">
        <f aca="false">IF(COUNTIFS('1 · BBDD Casos incluidos'!$A$2:$A$29,$A117,'1 · BBDD Casos incluidos'!$AO$2:$AO$29,1)&gt;0,1,0)</f>
        <v>0</v>
      </c>
      <c r="C117" s="34" t="n">
        <f aca="false">IF(COUNTIFS('1 · BBDD Casos incluidos'!$A$2:$A$29,$A117,'1 · BBDD Casos incluidos'!$AP$2:$AP$29,1)&gt;0,1,0)</f>
        <v>0</v>
      </c>
      <c r="D117" s="34" t="n">
        <f aca="false">IF(COUNTIFS('1 · BBDD Casos incluidos'!$A$2:$A$29,$A117,'1 · BBDD Casos incluidos'!$AQ$2:$AQ$29,1)&gt;0,1,0)</f>
        <v>0</v>
      </c>
      <c r="E117" s="34" t="n">
        <f aca="false">IF(COUNTIFS('1 · BBDD Casos incluidos'!$A$2:$A$29,$A117,'1 · BBDD Casos incluidos'!$AR$2:$AR$29,1)&gt;0,1,0)</f>
        <v>0</v>
      </c>
    </row>
    <row r="118" customFormat="false" ht="15" hidden="false" customHeight="false" outlineLevel="0" collapsed="false">
      <c r="A118" s="6" t="str">
        <f aca="false">A4</f>
        <v>BO</v>
      </c>
      <c r="B118" s="34" t="n">
        <f aca="false">IF(COUNTIFS('1 · BBDD Casos incluidos'!$A$2:$A$29,$A118,'1 · BBDD Casos incluidos'!$AO$2:$AO$29,1)&gt;0,1,0)</f>
        <v>0</v>
      </c>
      <c r="C118" s="34" t="n">
        <f aca="false">IF(COUNTIFS('1 · BBDD Casos incluidos'!$A$2:$A$29,$A118,'1 · BBDD Casos incluidos'!$AP$2:$AP$29,1)&gt;0,1,0)</f>
        <v>0</v>
      </c>
      <c r="D118" s="34" t="n">
        <f aca="false">IF(COUNTIFS('1 · BBDD Casos incluidos'!$A$2:$A$29,$A118,'1 · BBDD Casos incluidos'!$AQ$2:$AQ$29,1)&gt;0,1,0)</f>
        <v>0</v>
      </c>
      <c r="E118" s="34" t="n">
        <f aca="false">IF(COUNTIFS('1 · BBDD Casos incluidos'!$A$2:$A$29,$A118,'1 · BBDD Casos incluidos'!$AR$2:$AR$29,1)&gt;0,1,0)</f>
        <v>1</v>
      </c>
    </row>
    <row r="119" customFormat="false" ht="15" hidden="false" customHeight="false" outlineLevel="0" collapsed="false">
      <c r="A119" s="6" t="str">
        <f aca="false">A5</f>
        <v>BR</v>
      </c>
      <c r="B119" s="34" t="n">
        <f aca="false">IF(COUNTIFS('1 · BBDD Casos incluidos'!$A$2:$A$29,$A119,'1 · BBDD Casos incluidos'!$AO$2:$AO$29,1)&gt;0,1,0)</f>
        <v>1</v>
      </c>
      <c r="C119" s="34" t="n">
        <f aca="false">IF(COUNTIFS('1 · BBDD Casos incluidos'!$A$2:$A$29,$A119,'1 · BBDD Casos incluidos'!$AP$2:$AP$29,1)&gt;0,1,0)</f>
        <v>1</v>
      </c>
      <c r="D119" s="34" t="n">
        <f aca="false">IF(COUNTIFS('1 · BBDD Casos incluidos'!$A$2:$A$29,$A119,'1 · BBDD Casos incluidos'!$AQ$2:$AQ$29,1)&gt;0,1,0)</f>
        <v>0</v>
      </c>
      <c r="E119" s="34" t="n">
        <f aca="false">IF(COUNTIFS('1 · BBDD Casos incluidos'!$A$2:$A$29,$A119,'1 · BBDD Casos incluidos'!$AR$2:$AR$29,1)&gt;0,1,0)</f>
        <v>0</v>
      </c>
    </row>
    <row r="120" customFormat="false" ht="15" hidden="false" customHeight="false" outlineLevel="0" collapsed="false">
      <c r="A120" s="6" t="str">
        <f aca="false">A6</f>
        <v>CL</v>
      </c>
      <c r="B120" s="34" t="n">
        <f aca="false">IF(COUNTIFS('1 · BBDD Casos incluidos'!$A$2:$A$29,$A120,'1 · BBDD Casos incluidos'!$AO$2:$AO$29,1)&gt;0,1,0)</f>
        <v>1</v>
      </c>
      <c r="C120" s="34" t="n">
        <f aca="false">IF(COUNTIFS('1 · BBDD Casos incluidos'!$A$2:$A$29,$A120,'1 · BBDD Casos incluidos'!$AP$2:$AP$29,1)&gt;0,1,0)</f>
        <v>1</v>
      </c>
      <c r="D120" s="34" t="n">
        <f aca="false">IF(COUNTIFS('1 · BBDD Casos incluidos'!$A$2:$A$29,$A120,'1 · BBDD Casos incluidos'!$AQ$2:$AQ$29,1)&gt;0,1,0)</f>
        <v>1</v>
      </c>
      <c r="E120" s="34" t="n">
        <f aca="false">IF(COUNTIFS('1 · BBDD Casos incluidos'!$A$2:$A$29,$A120,'1 · BBDD Casos incluidos'!$AR$2:$AR$29,1)&gt;0,1,0)</f>
        <v>0</v>
      </c>
    </row>
    <row r="121" customFormat="false" ht="15" hidden="false" customHeight="false" outlineLevel="0" collapsed="false">
      <c r="A121" s="6" t="str">
        <f aca="false">A7</f>
        <v>CO</v>
      </c>
      <c r="B121" s="34" t="n">
        <f aca="false">IF(COUNTIFS('1 · BBDD Casos incluidos'!$A$2:$A$29,$A121,'1 · BBDD Casos incluidos'!$AO$2:$AO$29,1)&gt;0,1,0)</f>
        <v>1</v>
      </c>
      <c r="C121" s="34" t="n">
        <f aca="false">IF(COUNTIFS('1 · BBDD Casos incluidos'!$A$2:$A$29,$A121,'1 · BBDD Casos incluidos'!$AP$2:$AP$29,1)&gt;0,1,0)</f>
        <v>1</v>
      </c>
      <c r="D121" s="34" t="n">
        <f aca="false">IF(COUNTIFS('1 · BBDD Casos incluidos'!$A$2:$A$29,$A121,'1 · BBDD Casos incluidos'!$AQ$2:$AQ$29,1)&gt;0,1,0)</f>
        <v>1</v>
      </c>
      <c r="E121" s="34" t="n">
        <f aca="false">IF(COUNTIFS('1 · BBDD Casos incluidos'!$A$2:$A$29,$A121,'1 · BBDD Casos incluidos'!$AR$2:$AR$29,1)&gt;0,1,0)</f>
        <v>1</v>
      </c>
    </row>
    <row r="122" customFormat="false" ht="15" hidden="false" customHeight="false" outlineLevel="0" collapsed="false">
      <c r="A122" s="6" t="str">
        <f aca="false">A8</f>
        <v>CR</v>
      </c>
      <c r="B122" s="34" t="n">
        <f aca="false">IF(COUNTIFS('1 · BBDD Casos incluidos'!$A$2:$A$29,$A122,'1 · BBDD Casos incluidos'!$AO$2:$AO$29,1)&gt;0,1,0)</f>
        <v>0</v>
      </c>
      <c r="C122" s="34" t="n">
        <f aca="false">IF(COUNTIFS('1 · BBDD Casos incluidos'!$A$2:$A$29,$A122,'1 · BBDD Casos incluidos'!$AP$2:$AP$29,1)&gt;0,1,0)</f>
        <v>0</v>
      </c>
      <c r="D122" s="34" t="n">
        <f aca="false">IF(COUNTIFS('1 · BBDD Casos incluidos'!$A$2:$A$29,$A122,'1 · BBDD Casos incluidos'!$AQ$2:$AQ$29,1)&gt;0,1,0)</f>
        <v>0</v>
      </c>
      <c r="E122" s="34" t="n">
        <f aca="false">IF(COUNTIFS('1 · BBDD Casos incluidos'!$A$2:$A$29,$A122,'1 · BBDD Casos incluidos'!$AR$2:$AR$29,1)&gt;0,1,0)</f>
        <v>0</v>
      </c>
    </row>
    <row r="123" customFormat="false" ht="15" hidden="false" customHeight="false" outlineLevel="0" collapsed="false">
      <c r="A123" s="6" t="str">
        <f aca="false">A9</f>
        <v>CU</v>
      </c>
      <c r="B123" s="34" t="n">
        <f aca="false">IF(COUNTIFS('1 · BBDD Casos incluidos'!$A$2:$A$29,$A123,'1 · BBDD Casos incluidos'!$AO$2:$AO$29,1)&gt;0,1,0)</f>
        <v>0</v>
      </c>
      <c r="C123" s="34" t="n">
        <f aca="false">IF(COUNTIFS('1 · BBDD Casos incluidos'!$A$2:$A$29,$A123,'1 · BBDD Casos incluidos'!$AP$2:$AP$29,1)&gt;0,1,0)</f>
        <v>0</v>
      </c>
      <c r="D123" s="34" t="n">
        <f aca="false">IF(COUNTIFS('1 · BBDD Casos incluidos'!$A$2:$A$29,$A123,'1 · BBDD Casos incluidos'!$AQ$2:$AQ$29,1)&gt;0,1,0)</f>
        <v>0</v>
      </c>
      <c r="E123" s="34" t="n">
        <f aca="false">IF(COUNTIFS('1 · BBDD Casos incluidos'!$A$2:$A$29,$A123,'1 · BBDD Casos incluidos'!$AR$2:$AR$29,1)&gt;0,1,0)</f>
        <v>0</v>
      </c>
    </row>
    <row r="124" customFormat="false" ht="15" hidden="false" customHeight="false" outlineLevel="0" collapsed="false">
      <c r="A124" s="6" t="str">
        <f aca="false">A10</f>
        <v>DO</v>
      </c>
      <c r="B124" s="34" t="n">
        <f aca="false">IF(COUNTIFS('1 · BBDD Casos incluidos'!$A$2:$A$29,$A124,'1 · BBDD Casos incluidos'!$AO$2:$AO$29,1)&gt;0,1,0)</f>
        <v>0</v>
      </c>
      <c r="C124" s="34" t="n">
        <f aca="false">IF(COUNTIFS('1 · BBDD Casos incluidos'!$A$2:$A$29,$A124,'1 · BBDD Casos incluidos'!$AP$2:$AP$29,1)&gt;0,1,0)</f>
        <v>0</v>
      </c>
      <c r="D124" s="34" t="n">
        <f aca="false">IF(COUNTIFS('1 · BBDD Casos incluidos'!$A$2:$A$29,$A124,'1 · BBDD Casos incluidos'!$AQ$2:$AQ$29,1)&gt;0,1,0)</f>
        <v>0</v>
      </c>
      <c r="E124" s="34" t="n">
        <f aca="false">IF(COUNTIFS('1 · BBDD Casos incluidos'!$A$2:$A$29,$A124,'1 · BBDD Casos incluidos'!$AR$2:$AR$29,1)&gt;0,1,0)</f>
        <v>0</v>
      </c>
    </row>
    <row r="125" customFormat="false" ht="15" hidden="false" customHeight="false" outlineLevel="0" collapsed="false">
      <c r="A125" s="6" t="str">
        <f aca="false">A11</f>
        <v>EC</v>
      </c>
      <c r="B125" s="34" t="n">
        <f aca="false">IF(COUNTIFS('1 · BBDD Casos incluidos'!$A$2:$A$29,$A125,'1 · BBDD Casos incluidos'!$AO$2:$AO$29,1)&gt;0,1,0)</f>
        <v>0</v>
      </c>
      <c r="C125" s="34" t="n">
        <f aca="false">IF(COUNTIFS('1 · BBDD Casos incluidos'!$A$2:$A$29,$A125,'1 · BBDD Casos incluidos'!$AP$2:$AP$29,1)&gt;0,1,0)</f>
        <v>0</v>
      </c>
      <c r="D125" s="34" t="n">
        <f aca="false">IF(COUNTIFS('1 · BBDD Casos incluidos'!$A$2:$A$29,$A125,'1 · BBDD Casos incluidos'!$AQ$2:$AQ$29,1)&gt;0,1,0)</f>
        <v>1</v>
      </c>
      <c r="E125" s="34" t="n">
        <f aca="false">IF(COUNTIFS('1 · BBDD Casos incluidos'!$A$2:$A$29,$A125,'1 · BBDD Casos incluidos'!$AR$2:$AR$29,1)&gt;0,1,0)</f>
        <v>0</v>
      </c>
    </row>
    <row r="126" customFormat="false" ht="15" hidden="false" customHeight="false" outlineLevel="0" collapsed="false">
      <c r="A126" s="6" t="str">
        <f aca="false">A12</f>
        <v>GT</v>
      </c>
      <c r="B126" s="34" t="n">
        <f aca="false">IF(COUNTIFS('1 · BBDD Casos incluidos'!$A$2:$A$29,$A126,'1 · BBDD Casos incluidos'!$AO$2:$AO$29,1)&gt;0,1,0)</f>
        <v>0</v>
      </c>
      <c r="C126" s="34" t="n">
        <f aca="false">IF(COUNTIFS('1 · BBDD Casos incluidos'!$A$2:$A$29,$A126,'1 · BBDD Casos incluidos'!$AP$2:$AP$29,1)&gt;0,1,0)</f>
        <v>0</v>
      </c>
      <c r="D126" s="34" t="n">
        <f aca="false">IF(COUNTIFS('1 · BBDD Casos incluidos'!$A$2:$A$29,$A126,'1 · BBDD Casos incluidos'!$AQ$2:$AQ$29,1)&gt;0,1,0)</f>
        <v>1</v>
      </c>
      <c r="E126" s="34" t="n">
        <f aca="false">IF(COUNTIFS('1 · BBDD Casos incluidos'!$A$2:$A$29,$A126,'1 · BBDD Casos incluidos'!$AR$2:$AR$29,1)&gt;0,1,0)</f>
        <v>1</v>
      </c>
    </row>
    <row r="127" customFormat="false" ht="15" hidden="false" customHeight="false" outlineLevel="0" collapsed="false">
      <c r="A127" s="6" t="str">
        <f aca="false">A13</f>
        <v>HN</v>
      </c>
      <c r="B127" s="34" t="n">
        <f aca="false">IF(COUNTIFS('1 · BBDD Casos incluidos'!$A$2:$A$29,$A127,'1 · BBDD Casos incluidos'!$AO$2:$AO$29,1)&gt;0,1,0)</f>
        <v>0</v>
      </c>
      <c r="C127" s="34" t="n">
        <f aca="false">IF(COUNTIFS('1 · BBDD Casos incluidos'!$A$2:$A$29,$A127,'1 · BBDD Casos incluidos'!$AP$2:$AP$29,1)&gt;0,1,0)</f>
        <v>0</v>
      </c>
      <c r="D127" s="34" t="n">
        <f aca="false">IF(COUNTIFS('1 · BBDD Casos incluidos'!$A$2:$A$29,$A127,'1 · BBDD Casos incluidos'!$AQ$2:$AQ$29,1)&gt;0,1,0)</f>
        <v>0</v>
      </c>
      <c r="E127" s="34" t="n">
        <f aca="false">IF(COUNTIFS('1 · BBDD Casos incluidos'!$A$2:$A$29,$A127,'1 · BBDD Casos incluidos'!$AR$2:$AR$29,1)&gt;0,1,0)</f>
        <v>0</v>
      </c>
    </row>
    <row r="128" customFormat="false" ht="15" hidden="false" customHeight="false" outlineLevel="0" collapsed="false">
      <c r="A128" s="6" t="str">
        <f aca="false">A14</f>
        <v>JM</v>
      </c>
      <c r="B128" s="34" t="n">
        <f aca="false">IF(COUNTIFS('1 · BBDD Casos incluidos'!$A$2:$A$29,$A128,'1 · BBDD Casos incluidos'!$AO$2:$AO$29,1)&gt;0,1,0)</f>
        <v>0</v>
      </c>
      <c r="C128" s="34" t="n">
        <f aca="false">IF(COUNTIFS('1 · BBDD Casos incluidos'!$A$2:$A$29,$A128,'1 · BBDD Casos incluidos'!$AP$2:$AP$29,1)&gt;0,1,0)</f>
        <v>0</v>
      </c>
      <c r="D128" s="34" t="n">
        <f aca="false">IF(COUNTIFS('1 · BBDD Casos incluidos'!$A$2:$A$29,$A128,'1 · BBDD Casos incluidos'!$AQ$2:$AQ$29,1)&gt;0,1,0)</f>
        <v>0</v>
      </c>
      <c r="E128" s="34" t="n">
        <f aca="false">IF(COUNTIFS('1 · BBDD Casos incluidos'!$A$2:$A$29,$A128,'1 · BBDD Casos incluidos'!$AR$2:$AR$29,1)&gt;0,1,0)</f>
        <v>0</v>
      </c>
    </row>
    <row r="129" customFormat="false" ht="15" hidden="false" customHeight="false" outlineLevel="0" collapsed="false">
      <c r="A129" s="6" t="str">
        <f aca="false">A15</f>
        <v>MX</v>
      </c>
      <c r="B129" s="34" t="n">
        <f aca="false">IF(COUNTIFS('1 · BBDD Casos incluidos'!$A$2:$A$29,$A129,'1 · BBDD Casos incluidos'!$AO$2:$AO$29,1)&gt;0,1,0)</f>
        <v>0</v>
      </c>
      <c r="C129" s="34" t="n">
        <f aca="false">IF(COUNTIFS('1 · BBDD Casos incluidos'!$A$2:$A$29,$A129,'1 · BBDD Casos incluidos'!$AP$2:$AP$29,1)&gt;0,1,0)</f>
        <v>0</v>
      </c>
      <c r="D129" s="34" t="n">
        <f aca="false">IF(COUNTIFS('1 · BBDD Casos incluidos'!$A$2:$A$29,$A129,'1 · BBDD Casos incluidos'!$AQ$2:$AQ$29,1)&gt;0,1,0)</f>
        <v>0</v>
      </c>
      <c r="E129" s="34" t="n">
        <f aca="false">IF(COUNTIFS('1 · BBDD Casos incluidos'!$A$2:$A$29,$A129,'1 · BBDD Casos incluidos'!$AR$2:$AR$29,1)&gt;0,1,0)</f>
        <v>0</v>
      </c>
    </row>
    <row r="130" customFormat="false" ht="15" hidden="false" customHeight="false" outlineLevel="0" collapsed="false">
      <c r="A130" s="6" t="str">
        <f aca="false">A16</f>
        <v>PA</v>
      </c>
      <c r="B130" s="34" t="n">
        <f aca="false">IF(COUNTIFS('1 · BBDD Casos incluidos'!$A$2:$A$29,$A130,'1 · BBDD Casos incluidos'!$AO$2:$AO$29,1)&gt;0,1,0)</f>
        <v>0</v>
      </c>
      <c r="C130" s="34" t="n">
        <f aca="false">IF(COUNTIFS('1 · BBDD Casos incluidos'!$A$2:$A$29,$A130,'1 · BBDD Casos incluidos'!$AP$2:$AP$29,1)&gt;0,1,0)</f>
        <v>0</v>
      </c>
      <c r="D130" s="34" t="n">
        <f aca="false">IF(COUNTIFS('1 · BBDD Casos incluidos'!$A$2:$A$29,$A130,'1 · BBDD Casos incluidos'!$AQ$2:$AQ$29,1)&gt;0,1,0)</f>
        <v>1</v>
      </c>
      <c r="E130" s="34" t="n">
        <f aca="false">IF(COUNTIFS('1 · BBDD Casos incluidos'!$A$2:$A$29,$A130,'1 · BBDD Casos incluidos'!$AR$2:$AR$29,1)&gt;0,1,0)</f>
        <v>0</v>
      </c>
    </row>
    <row r="131" customFormat="false" ht="15" hidden="false" customHeight="false" outlineLevel="0" collapsed="false">
      <c r="A131" s="6" t="str">
        <f aca="false">A17</f>
        <v>PE</v>
      </c>
      <c r="B131" s="34" t="n">
        <f aca="false">IF(COUNTIFS('1 · BBDD Casos incluidos'!$A$2:$A$29,$A131,'1 · BBDD Casos incluidos'!$AO$2:$AO$29,1)&gt;0,1,0)</f>
        <v>0</v>
      </c>
      <c r="C131" s="34" t="n">
        <f aca="false">IF(COUNTIFS('1 · BBDD Casos incluidos'!$A$2:$A$29,$A131,'1 · BBDD Casos incluidos'!$AP$2:$AP$29,1)&gt;0,1,0)</f>
        <v>0</v>
      </c>
      <c r="D131" s="34" t="n">
        <f aca="false">IF(COUNTIFS('1 · BBDD Casos incluidos'!$A$2:$A$29,$A131,'1 · BBDD Casos incluidos'!$AQ$2:$AQ$29,1)&gt;0,1,0)</f>
        <v>0</v>
      </c>
      <c r="E131" s="34" t="n">
        <f aca="false">IF(COUNTIFS('1 · BBDD Casos incluidos'!$A$2:$A$29,$A131,'1 · BBDD Casos incluidos'!$AR$2:$AR$29,1)&gt;0,1,0)</f>
        <v>0</v>
      </c>
    </row>
    <row r="132" customFormat="false" ht="15" hidden="false" customHeight="false" outlineLevel="0" collapsed="false">
      <c r="A132" s="6" t="str">
        <f aca="false">A18</f>
        <v>PY</v>
      </c>
      <c r="B132" s="34" t="n">
        <f aca="false">IF(COUNTIFS('1 · BBDD Casos incluidos'!$A$2:$A$29,$A132,'1 · BBDD Casos incluidos'!$AO$2:$AO$29,1)&gt;0,1,0)</f>
        <v>0</v>
      </c>
      <c r="C132" s="34" t="n">
        <f aca="false">IF(COUNTIFS('1 · BBDD Casos incluidos'!$A$2:$A$29,$A132,'1 · BBDD Casos incluidos'!$AP$2:$AP$29,1)&gt;0,1,0)</f>
        <v>0</v>
      </c>
      <c r="D132" s="34" t="n">
        <f aca="false">IF(COUNTIFS('1 · BBDD Casos incluidos'!$A$2:$A$29,$A132,'1 · BBDD Casos incluidos'!$AQ$2:$AQ$29,1)&gt;0,1,0)</f>
        <v>0</v>
      </c>
      <c r="E132" s="34" t="n">
        <f aca="false">IF(COUNTIFS('1 · BBDD Casos incluidos'!$A$2:$A$29,$A132,'1 · BBDD Casos incluidos'!$AR$2:$AR$29,1)&gt;0,1,0)</f>
        <v>0</v>
      </c>
    </row>
    <row r="133" customFormat="false" ht="15" hidden="false" customHeight="false" outlineLevel="0" collapsed="false">
      <c r="A133" s="6" t="str">
        <f aca="false">A19</f>
        <v>SV</v>
      </c>
      <c r="B133" s="34" t="n">
        <f aca="false">IF(COUNTIFS('1 · BBDD Casos incluidos'!$A$2:$A$29,$A133,'1 · BBDD Casos incluidos'!$AO$2:$AO$29,1)&gt;0,1,0)</f>
        <v>0</v>
      </c>
      <c r="C133" s="34" t="n">
        <f aca="false">IF(COUNTIFS('1 · BBDD Casos incluidos'!$A$2:$A$29,$A133,'1 · BBDD Casos incluidos'!$AP$2:$AP$29,1)&gt;0,1,0)</f>
        <v>0</v>
      </c>
      <c r="D133" s="34" t="n">
        <f aca="false">IF(COUNTIFS('1 · BBDD Casos incluidos'!$A$2:$A$29,$A133,'1 · BBDD Casos incluidos'!$AQ$2:$AQ$29,1)&gt;0,1,0)</f>
        <v>0</v>
      </c>
      <c r="E133" s="34" t="n">
        <f aca="false">IF(COUNTIFS('1 · BBDD Casos incluidos'!$A$2:$A$29,$A133,'1 · BBDD Casos incluidos'!$AR$2:$AR$29,1)&gt;0,1,0)</f>
        <v>0</v>
      </c>
    </row>
    <row r="134" customFormat="false" ht="15" hidden="false" customHeight="false" outlineLevel="0" collapsed="false">
      <c r="A134" s="6" t="str">
        <f aca="false">A20</f>
        <v>TT</v>
      </c>
      <c r="B134" s="34" t="n">
        <f aca="false">IF(COUNTIFS('1 · BBDD Casos incluidos'!$A$2:$A$29,$A134,'1 · BBDD Casos incluidos'!$AO$2:$AO$29,1)&gt;0,1,0)</f>
        <v>0</v>
      </c>
      <c r="C134" s="34" t="n">
        <f aca="false">IF(COUNTIFS('1 · BBDD Casos incluidos'!$A$2:$A$29,$A134,'1 · BBDD Casos incluidos'!$AP$2:$AP$29,1)&gt;0,1,0)</f>
        <v>0</v>
      </c>
      <c r="D134" s="34" t="n">
        <f aca="false">IF(COUNTIFS('1 · BBDD Casos incluidos'!$A$2:$A$29,$A134,'1 · BBDD Casos incluidos'!$AQ$2:$AQ$29,1)&gt;0,1,0)</f>
        <v>0</v>
      </c>
      <c r="E134" s="34" t="n">
        <f aca="false">IF(COUNTIFS('1 · BBDD Casos incluidos'!$A$2:$A$29,$A134,'1 · BBDD Casos incluidos'!$AR$2:$AR$29,1)&gt;0,1,0)</f>
        <v>0</v>
      </c>
    </row>
    <row r="135" customFormat="false" ht="15" hidden="false" customHeight="false" outlineLevel="0" collapsed="false">
      <c r="A135" s="6" t="str">
        <f aca="false">A21</f>
        <v>UY</v>
      </c>
      <c r="B135" s="34" t="n">
        <f aca="false">IF(COUNTIFS('1 · BBDD Casos incluidos'!$A$2:$A$29,$A135,'1 · BBDD Casos incluidos'!$AO$2:$AO$29,1)&gt;0,1,0)</f>
        <v>0</v>
      </c>
      <c r="C135" s="34" t="n">
        <f aca="false">IF(COUNTIFS('1 · BBDD Casos incluidos'!$A$2:$A$29,$A135,'1 · BBDD Casos incluidos'!$AP$2:$AP$29,1)&gt;0,1,0)</f>
        <v>1</v>
      </c>
      <c r="D135" s="34" t="n">
        <f aca="false">IF(COUNTIFS('1 · BBDD Casos incluidos'!$A$2:$A$29,$A135,'1 · BBDD Casos incluidos'!$AQ$2:$AQ$29,1)&gt;0,1,0)</f>
        <v>0</v>
      </c>
      <c r="E135" s="34" t="n">
        <f aca="false">IF(COUNTIFS('1 · BBDD Casos incluidos'!$A$2:$A$29,$A135,'1 · BBDD Casos incluidos'!$AR$2:$AR$29,1)&gt;0,1,0)</f>
        <v>0</v>
      </c>
    </row>
    <row r="136" customFormat="false" ht="15" hidden="false" customHeight="false" outlineLevel="0" collapsed="false">
      <c r="A136" s="6" t="str">
        <f aca="false">A22</f>
        <v>VE</v>
      </c>
      <c r="B136" s="34" t="n">
        <f aca="false">IF(COUNTIFS('1 · BBDD Casos incluidos'!$A$2:$A$29,$A136,'1 · BBDD Casos incluidos'!$AO$2:$AO$29,1)&gt;0,1,0)</f>
        <v>0</v>
      </c>
      <c r="C136" s="34" t="n">
        <f aca="false">IF(COUNTIFS('1 · BBDD Casos incluidos'!$A$2:$A$29,$A136,'1 · BBDD Casos incluidos'!$AP$2:$AP$29,1)&gt;0,1,0)</f>
        <v>0</v>
      </c>
      <c r="D136" s="34" t="n">
        <f aca="false">IF(COUNTIFS('1 · BBDD Casos incluidos'!$A$2:$A$29,$A136,'1 · BBDD Casos incluidos'!$AQ$2:$AQ$29,1)&gt;0,1,0)</f>
        <v>0</v>
      </c>
      <c r="E136" s="34" t="n">
        <f aca="false">IF(COUNTIFS('1 · BBDD Casos incluidos'!$A$2:$A$29,$A136,'1 · BBDD Casos incluidos'!$AR$2:$AR$29,1)&gt;0,1,0)</f>
        <v>0</v>
      </c>
    </row>
    <row r="139" customFormat="false" ht="15" hidden="false" customHeight="false" outlineLevel="0" collapsed="false">
      <c r="A139" s="32" t="s">
        <v>362</v>
      </c>
    </row>
    <row r="140" customFormat="false" ht="15" hidden="false" customHeight="false" outlineLevel="0" collapsed="false">
      <c r="A140" s="33" t="s">
        <v>306</v>
      </c>
      <c r="B140" s="33" t="s">
        <v>67</v>
      </c>
      <c r="C140" s="33" t="s">
        <v>106</v>
      </c>
      <c r="D140" s="33" t="s">
        <v>135</v>
      </c>
      <c r="E140" s="33" t="s">
        <v>244</v>
      </c>
    </row>
    <row r="141" customFormat="false" ht="15" hidden="false" customHeight="false" outlineLevel="0" collapsed="false">
      <c r="A141" s="6" t="str">
        <f aca="false">A3</f>
        <v>AR</v>
      </c>
      <c r="B141" s="34" t="n">
        <f aca="false">IF(COUNTIFS('1 · BBDD Casos incluidos'!$A$2:$A$29,$A141,'1 · BBDD Casos incluidos'!$AS$2:$AS$29,1,'1 · BBDD Casos incluidos'!$AW$2:$AW$29,1)&gt;0,1,0)</f>
        <v>0</v>
      </c>
      <c r="C141" s="34" t="n">
        <f aca="false">IF(COUNTIFS('1 · BBDD Casos incluidos'!$A$2:$A$29,$A141,'1 · BBDD Casos incluidos'!$AT$2:$AT$29,1,'1 · BBDD Casos incluidos'!$AW$2:$AW$29,1)&gt;0,1,0)</f>
        <v>0</v>
      </c>
      <c r="D141" s="34" t="n">
        <f aca="false">IF(COUNTIFS('1 · BBDD Casos incluidos'!$A$2:$A$29,$A141,'1 · BBDD Casos incluidos'!$AU$2:$AU$29,1,'1 · BBDD Casos incluidos'!$AW$2:$AW$29,1)&gt;0,1,0)</f>
        <v>0</v>
      </c>
      <c r="E141" s="34" t="n">
        <f aca="false">IF(COUNTIFS('1 · BBDD Casos incluidos'!$A$2:$A$29,$A141,'1 · BBDD Casos incluidos'!$AV$2:$AV$29,1,'1 · BBDD Casos incluidos'!$AW$2:$AW$29,1)&gt;0,1,0)</f>
        <v>0</v>
      </c>
    </row>
    <row r="142" customFormat="false" ht="15" hidden="false" customHeight="false" outlineLevel="0" collapsed="false">
      <c r="A142" s="6" t="str">
        <f aca="false">A4</f>
        <v>BO</v>
      </c>
      <c r="B142" s="34" t="n">
        <f aca="false">IF(COUNTIFS('1 · BBDD Casos incluidos'!$A$2:$A$29,$A142,'1 · BBDD Casos incluidos'!$AS$2:$AS$29,1,'1 · BBDD Casos incluidos'!$AW$2:$AW$29,1)&gt;0,1,0)</f>
        <v>0</v>
      </c>
      <c r="C142" s="34" t="n">
        <f aca="false">IF(COUNTIFS('1 · BBDD Casos incluidos'!$A$2:$A$29,$A142,'1 · BBDD Casos incluidos'!$AT$2:$AT$29,1,'1 · BBDD Casos incluidos'!$AW$2:$AW$29,1)&gt;0,1,0)</f>
        <v>0</v>
      </c>
      <c r="D142" s="34" t="n">
        <f aca="false">IF(COUNTIFS('1 · BBDD Casos incluidos'!$A$2:$A$29,$A142,'1 · BBDD Casos incluidos'!$AU$2:$AU$29,1,'1 · BBDD Casos incluidos'!$AW$2:$AW$29,1)&gt;0,1,0)</f>
        <v>0</v>
      </c>
      <c r="E142" s="34" t="n">
        <f aca="false">IF(COUNTIFS('1 · BBDD Casos incluidos'!$A$2:$A$29,$A142,'1 · BBDD Casos incluidos'!$AV$2:$AV$29,1,'1 · BBDD Casos incluidos'!$AW$2:$AW$29,1)&gt;0,1,0)</f>
        <v>0</v>
      </c>
    </row>
    <row r="143" customFormat="false" ht="15" hidden="false" customHeight="false" outlineLevel="0" collapsed="false">
      <c r="A143" s="6" t="str">
        <f aca="false">A5</f>
        <v>BR</v>
      </c>
      <c r="B143" s="34" t="n">
        <f aca="false">IF(COUNTIFS('1 · BBDD Casos incluidos'!$A$2:$A$29,$A143,'1 · BBDD Casos incluidos'!$AS$2:$AS$29,1,'1 · BBDD Casos incluidos'!$AW$2:$AW$29,1)&gt;0,1,0)</f>
        <v>1</v>
      </c>
      <c r="C143" s="34" t="n">
        <f aca="false">IF(COUNTIFS('1 · BBDD Casos incluidos'!$A$2:$A$29,$A143,'1 · BBDD Casos incluidos'!$AT$2:$AT$29,1,'1 · BBDD Casos incluidos'!$AW$2:$AW$29,1)&gt;0,1,0)</f>
        <v>1</v>
      </c>
      <c r="D143" s="34" t="n">
        <f aca="false">IF(COUNTIFS('1 · BBDD Casos incluidos'!$A$2:$A$29,$A143,'1 · BBDD Casos incluidos'!$AU$2:$AU$29,1,'1 · BBDD Casos incluidos'!$AW$2:$AW$29,1)&gt;0,1,0)</f>
        <v>1</v>
      </c>
      <c r="E143" s="34" t="n">
        <f aca="false">IF(COUNTIFS('1 · BBDD Casos incluidos'!$A$2:$A$29,$A143,'1 · BBDD Casos incluidos'!$AV$2:$AV$29,1,'1 · BBDD Casos incluidos'!$AW$2:$AW$29,1)&gt;0,1,0)</f>
        <v>1</v>
      </c>
    </row>
    <row r="144" customFormat="false" ht="15" hidden="false" customHeight="false" outlineLevel="0" collapsed="false">
      <c r="A144" s="6" t="str">
        <f aca="false">A6</f>
        <v>CL</v>
      </c>
      <c r="B144" s="34" t="n">
        <f aca="false">IF(COUNTIFS('1 · BBDD Casos incluidos'!$A$2:$A$29,$A144,'1 · BBDD Casos incluidos'!$AS$2:$AS$29,1,'1 · BBDD Casos incluidos'!$AW$2:$AW$29,1)&gt;0,1,0)</f>
        <v>1</v>
      </c>
      <c r="C144" s="34" t="n">
        <f aca="false">IF(COUNTIFS('1 · BBDD Casos incluidos'!$A$2:$A$29,$A144,'1 · BBDD Casos incluidos'!$AT$2:$AT$29,1,'1 · BBDD Casos incluidos'!$AW$2:$AW$29,1)&gt;0,1,0)</f>
        <v>1</v>
      </c>
      <c r="D144" s="34" t="n">
        <f aca="false">IF(COUNTIFS('1 · BBDD Casos incluidos'!$A$2:$A$29,$A144,'1 · BBDD Casos incluidos'!$AU$2:$AU$29,1,'1 · BBDD Casos incluidos'!$AW$2:$AW$29,1)&gt;0,1,0)</f>
        <v>1</v>
      </c>
      <c r="E144" s="34" t="n">
        <f aca="false">IF(COUNTIFS('1 · BBDD Casos incluidos'!$A$2:$A$29,$A144,'1 · BBDD Casos incluidos'!$AV$2:$AV$29,1,'1 · BBDD Casos incluidos'!$AW$2:$AW$29,1)&gt;0,1,0)</f>
        <v>0</v>
      </c>
    </row>
    <row r="145" customFormat="false" ht="15" hidden="false" customHeight="false" outlineLevel="0" collapsed="false">
      <c r="A145" s="6" t="str">
        <f aca="false">A7</f>
        <v>CO</v>
      </c>
      <c r="B145" s="34" t="n">
        <f aca="false">IF(COUNTIFS('1 · BBDD Casos incluidos'!$A$2:$A$29,$A145,'1 · BBDD Casos incluidos'!$AS$2:$AS$29,1,'1 · BBDD Casos incluidos'!$AW$2:$AW$29,1)&gt;0,1,0)</f>
        <v>1</v>
      </c>
      <c r="C145" s="34" t="n">
        <f aca="false">IF(COUNTIFS('1 · BBDD Casos incluidos'!$A$2:$A$29,$A145,'1 · BBDD Casos incluidos'!$AT$2:$AT$29,1,'1 · BBDD Casos incluidos'!$AW$2:$AW$29,1)&gt;0,1,0)</f>
        <v>1</v>
      </c>
      <c r="D145" s="34" t="n">
        <f aca="false">IF(COUNTIFS('1 · BBDD Casos incluidos'!$A$2:$A$29,$A145,'1 · BBDD Casos incluidos'!$AU$2:$AU$29,1,'1 · BBDD Casos incluidos'!$AW$2:$AW$29,1)&gt;0,1,0)</f>
        <v>1</v>
      </c>
      <c r="E145" s="34" t="n">
        <f aca="false">IF(COUNTIFS('1 · BBDD Casos incluidos'!$A$2:$A$29,$A145,'1 · BBDD Casos incluidos'!$AV$2:$AV$29,1,'1 · BBDD Casos incluidos'!$AW$2:$AW$29,1)&gt;0,1,0)</f>
        <v>0</v>
      </c>
    </row>
    <row r="146" customFormat="false" ht="15" hidden="false" customHeight="false" outlineLevel="0" collapsed="false">
      <c r="A146" s="6" t="str">
        <f aca="false">A8</f>
        <v>CR</v>
      </c>
      <c r="B146" s="34" t="n">
        <f aca="false">IF(COUNTIFS('1 · BBDD Casos incluidos'!$A$2:$A$29,$A146,'1 · BBDD Casos incluidos'!$AS$2:$AS$29,1,'1 · BBDD Casos incluidos'!$AW$2:$AW$29,1)&gt;0,1,0)</f>
        <v>0</v>
      </c>
      <c r="C146" s="34" t="n">
        <f aca="false">IF(COUNTIFS('1 · BBDD Casos incluidos'!$A$2:$A$29,$A146,'1 · BBDD Casos incluidos'!$AT$2:$AT$29,1,'1 · BBDD Casos incluidos'!$AW$2:$AW$29,1)&gt;0,1,0)</f>
        <v>0</v>
      </c>
      <c r="D146" s="34" t="n">
        <f aca="false">IF(COUNTIFS('1 · BBDD Casos incluidos'!$A$2:$A$29,$A146,'1 · BBDD Casos incluidos'!$AU$2:$AU$29,1,'1 · BBDD Casos incluidos'!$AW$2:$AW$29,1)&gt;0,1,0)</f>
        <v>0</v>
      </c>
      <c r="E146" s="34" t="n">
        <f aca="false">IF(COUNTIFS('1 · BBDD Casos incluidos'!$A$2:$A$29,$A146,'1 · BBDD Casos incluidos'!$AV$2:$AV$29,1,'1 · BBDD Casos incluidos'!$AW$2:$AW$29,1)&gt;0,1,0)</f>
        <v>0</v>
      </c>
    </row>
    <row r="147" customFormat="false" ht="15" hidden="false" customHeight="false" outlineLevel="0" collapsed="false">
      <c r="A147" s="6" t="str">
        <f aca="false">A9</f>
        <v>CU</v>
      </c>
      <c r="B147" s="34" t="n">
        <f aca="false">IF(COUNTIFS('1 · BBDD Casos incluidos'!$A$2:$A$29,$A147,'1 · BBDD Casos incluidos'!$AS$2:$AS$29,1,'1 · BBDD Casos incluidos'!$AW$2:$AW$29,1)&gt;0,1,0)</f>
        <v>1</v>
      </c>
      <c r="C147" s="34" t="n">
        <f aca="false">IF(COUNTIFS('1 · BBDD Casos incluidos'!$A$2:$A$29,$A147,'1 · BBDD Casos incluidos'!$AT$2:$AT$29,1,'1 · BBDD Casos incluidos'!$AW$2:$AW$29,1)&gt;0,1,0)</f>
        <v>1</v>
      </c>
      <c r="D147" s="34" t="n">
        <f aca="false">IF(COUNTIFS('1 · BBDD Casos incluidos'!$A$2:$A$29,$A147,'1 · BBDD Casos incluidos'!$AU$2:$AU$29,1,'1 · BBDD Casos incluidos'!$AW$2:$AW$29,1)&gt;0,1,0)</f>
        <v>0</v>
      </c>
      <c r="E147" s="34" t="n">
        <f aca="false">IF(COUNTIFS('1 · BBDD Casos incluidos'!$A$2:$A$29,$A147,'1 · BBDD Casos incluidos'!$AV$2:$AV$29,1,'1 · BBDD Casos incluidos'!$AW$2:$AW$29,1)&gt;0,1,0)</f>
        <v>0</v>
      </c>
    </row>
    <row r="148" customFormat="false" ht="15" hidden="false" customHeight="false" outlineLevel="0" collapsed="false">
      <c r="A148" s="6" t="str">
        <f aca="false">A10</f>
        <v>DO</v>
      </c>
      <c r="B148" s="34" t="n">
        <f aca="false">IF(COUNTIFS('1 · BBDD Casos incluidos'!$A$2:$A$29,$A148,'1 · BBDD Casos incluidos'!$AS$2:$AS$29,1,'1 · BBDD Casos incluidos'!$AW$2:$AW$29,1)&gt;0,1,0)</f>
        <v>0</v>
      </c>
      <c r="C148" s="34" t="n">
        <f aca="false">IF(COUNTIFS('1 · BBDD Casos incluidos'!$A$2:$A$29,$A148,'1 · BBDD Casos incluidos'!$AT$2:$AT$29,1,'1 · BBDD Casos incluidos'!$AW$2:$AW$29,1)&gt;0,1,0)</f>
        <v>0</v>
      </c>
      <c r="D148" s="34" t="n">
        <f aca="false">IF(COUNTIFS('1 · BBDD Casos incluidos'!$A$2:$A$29,$A148,'1 · BBDD Casos incluidos'!$AU$2:$AU$29,1,'1 · BBDD Casos incluidos'!$AW$2:$AW$29,1)&gt;0,1,0)</f>
        <v>0</v>
      </c>
      <c r="E148" s="34" t="n">
        <f aca="false">IF(COUNTIFS('1 · BBDD Casos incluidos'!$A$2:$A$29,$A148,'1 · BBDD Casos incluidos'!$AV$2:$AV$29,1,'1 · BBDD Casos incluidos'!$AW$2:$AW$29,1)&gt;0,1,0)</f>
        <v>0</v>
      </c>
    </row>
    <row r="149" customFormat="false" ht="15" hidden="false" customHeight="false" outlineLevel="0" collapsed="false">
      <c r="A149" s="6" t="str">
        <f aca="false">A11</f>
        <v>EC</v>
      </c>
      <c r="B149" s="34" t="n">
        <f aca="false">IF(COUNTIFS('1 · BBDD Casos incluidos'!$A$2:$A$29,$A149,'1 · BBDD Casos incluidos'!$AS$2:$AS$29,1,'1 · BBDD Casos incluidos'!$AW$2:$AW$29,1)&gt;0,1,0)</f>
        <v>0</v>
      </c>
      <c r="C149" s="34" t="n">
        <f aca="false">IF(COUNTIFS('1 · BBDD Casos incluidos'!$A$2:$A$29,$A149,'1 · BBDD Casos incluidos'!$AT$2:$AT$29,1,'1 · BBDD Casos incluidos'!$AW$2:$AW$29,1)&gt;0,1,0)</f>
        <v>0</v>
      </c>
      <c r="D149" s="34" t="n">
        <f aca="false">IF(COUNTIFS('1 · BBDD Casos incluidos'!$A$2:$A$29,$A149,'1 · BBDD Casos incluidos'!$AU$2:$AU$29,1,'1 · BBDD Casos incluidos'!$AW$2:$AW$29,1)&gt;0,1,0)</f>
        <v>0</v>
      </c>
      <c r="E149" s="34" t="n">
        <f aca="false">IF(COUNTIFS('1 · BBDD Casos incluidos'!$A$2:$A$29,$A149,'1 · BBDD Casos incluidos'!$AV$2:$AV$29,1,'1 · BBDD Casos incluidos'!$AW$2:$AW$29,1)&gt;0,1,0)</f>
        <v>1</v>
      </c>
    </row>
    <row r="150" customFormat="false" ht="15" hidden="false" customHeight="false" outlineLevel="0" collapsed="false">
      <c r="A150" s="6" t="str">
        <f aca="false">A12</f>
        <v>GT</v>
      </c>
      <c r="B150" s="34" t="n">
        <f aca="false">IF(COUNTIFS('1 · BBDD Casos incluidos'!$A$2:$A$29,$A150,'1 · BBDD Casos incluidos'!$AS$2:$AS$29,1,'1 · BBDD Casos incluidos'!$AW$2:$AW$29,1)&gt;0,1,0)</f>
        <v>0</v>
      </c>
      <c r="C150" s="34" t="n">
        <f aca="false">IF(COUNTIFS('1 · BBDD Casos incluidos'!$A$2:$A$29,$A150,'1 · BBDD Casos incluidos'!$AT$2:$AT$29,1,'1 · BBDD Casos incluidos'!$AW$2:$AW$29,1)&gt;0,1,0)</f>
        <v>0</v>
      </c>
      <c r="D150" s="34" t="n">
        <f aca="false">IF(COUNTIFS('1 · BBDD Casos incluidos'!$A$2:$A$29,$A150,'1 · BBDD Casos incluidos'!$AU$2:$AU$29,1,'1 · BBDD Casos incluidos'!$AW$2:$AW$29,1)&gt;0,1,0)</f>
        <v>0</v>
      </c>
      <c r="E150" s="34" t="n">
        <f aca="false">IF(COUNTIFS('1 · BBDD Casos incluidos'!$A$2:$A$29,$A150,'1 · BBDD Casos incluidos'!$AV$2:$AV$29,1,'1 · BBDD Casos incluidos'!$AW$2:$AW$29,1)&gt;0,1,0)</f>
        <v>0</v>
      </c>
    </row>
    <row r="151" customFormat="false" ht="15" hidden="false" customHeight="false" outlineLevel="0" collapsed="false">
      <c r="A151" s="6" t="str">
        <f aca="false">A13</f>
        <v>HN</v>
      </c>
      <c r="B151" s="34" t="n">
        <f aca="false">IF(COUNTIFS('1 · BBDD Casos incluidos'!$A$2:$A$29,$A151,'1 · BBDD Casos incluidos'!$AS$2:$AS$29,1,'1 · BBDD Casos incluidos'!$AW$2:$AW$29,1)&gt;0,1,0)</f>
        <v>0</v>
      </c>
      <c r="C151" s="34" t="n">
        <f aca="false">IF(COUNTIFS('1 · BBDD Casos incluidos'!$A$2:$A$29,$A151,'1 · BBDD Casos incluidos'!$AT$2:$AT$29,1,'1 · BBDD Casos incluidos'!$AW$2:$AW$29,1)&gt;0,1,0)</f>
        <v>0</v>
      </c>
      <c r="D151" s="34" t="n">
        <f aca="false">IF(COUNTIFS('1 · BBDD Casos incluidos'!$A$2:$A$29,$A151,'1 · BBDD Casos incluidos'!$AU$2:$AU$29,1,'1 · BBDD Casos incluidos'!$AW$2:$AW$29,1)&gt;0,1,0)</f>
        <v>0</v>
      </c>
      <c r="E151" s="34" t="n">
        <f aca="false">IF(COUNTIFS('1 · BBDD Casos incluidos'!$A$2:$A$29,$A151,'1 · BBDD Casos incluidos'!$AV$2:$AV$29,1,'1 · BBDD Casos incluidos'!$AW$2:$AW$29,1)&gt;0,1,0)</f>
        <v>0</v>
      </c>
    </row>
    <row r="152" customFormat="false" ht="15" hidden="false" customHeight="false" outlineLevel="0" collapsed="false">
      <c r="A152" s="6" t="str">
        <f aca="false">A14</f>
        <v>JM</v>
      </c>
      <c r="B152" s="34" t="n">
        <f aca="false">IF(COUNTIFS('1 · BBDD Casos incluidos'!$A$2:$A$29,$A152,'1 · BBDD Casos incluidos'!$AS$2:$AS$29,1,'1 · BBDD Casos incluidos'!$AW$2:$AW$29,1)&gt;0,1,0)</f>
        <v>0</v>
      </c>
      <c r="C152" s="34" t="n">
        <f aca="false">IF(COUNTIFS('1 · BBDD Casos incluidos'!$A$2:$A$29,$A152,'1 · BBDD Casos incluidos'!$AT$2:$AT$29,1,'1 · BBDD Casos incluidos'!$AW$2:$AW$29,1)&gt;0,1,0)</f>
        <v>0</v>
      </c>
      <c r="D152" s="34" t="n">
        <f aca="false">IF(COUNTIFS('1 · BBDD Casos incluidos'!$A$2:$A$29,$A152,'1 · BBDD Casos incluidos'!$AU$2:$AU$29,1,'1 · BBDD Casos incluidos'!$AW$2:$AW$29,1)&gt;0,1,0)</f>
        <v>0</v>
      </c>
      <c r="E152" s="34" t="n">
        <f aca="false">IF(COUNTIFS('1 · BBDD Casos incluidos'!$A$2:$A$29,$A152,'1 · BBDD Casos incluidos'!$AV$2:$AV$29,1,'1 · BBDD Casos incluidos'!$AW$2:$AW$29,1)&gt;0,1,0)</f>
        <v>0</v>
      </c>
    </row>
    <row r="153" customFormat="false" ht="15" hidden="false" customHeight="false" outlineLevel="0" collapsed="false">
      <c r="A153" s="6" t="str">
        <f aca="false">A15</f>
        <v>MX</v>
      </c>
      <c r="B153" s="34" t="n">
        <f aca="false">IF(COUNTIFS('1 · BBDD Casos incluidos'!$A$2:$A$29,$A153,'1 · BBDD Casos incluidos'!$AS$2:$AS$29,1,'1 · BBDD Casos incluidos'!$AW$2:$AW$29,1)&gt;0,1,0)</f>
        <v>0</v>
      </c>
      <c r="C153" s="34" t="n">
        <f aca="false">IF(COUNTIFS('1 · BBDD Casos incluidos'!$A$2:$A$29,$A153,'1 · BBDD Casos incluidos'!$AT$2:$AT$29,1,'1 · BBDD Casos incluidos'!$AW$2:$AW$29,1)&gt;0,1,0)</f>
        <v>0</v>
      </c>
      <c r="D153" s="34" t="n">
        <f aca="false">IF(COUNTIFS('1 · BBDD Casos incluidos'!$A$2:$A$29,$A153,'1 · BBDD Casos incluidos'!$AU$2:$AU$29,1,'1 · BBDD Casos incluidos'!$AW$2:$AW$29,1)&gt;0,1,0)</f>
        <v>1</v>
      </c>
      <c r="E153" s="34" t="n">
        <f aca="false">IF(COUNTIFS('1 · BBDD Casos incluidos'!$A$2:$A$29,$A153,'1 · BBDD Casos incluidos'!$AV$2:$AV$29,1,'1 · BBDD Casos incluidos'!$AW$2:$AW$29,1)&gt;0,1,0)</f>
        <v>0</v>
      </c>
    </row>
    <row r="154" customFormat="false" ht="15" hidden="false" customHeight="false" outlineLevel="0" collapsed="false">
      <c r="A154" s="6" t="str">
        <f aca="false">A16</f>
        <v>PA</v>
      </c>
      <c r="B154" s="34" t="n">
        <f aca="false">IF(COUNTIFS('1 · BBDD Casos incluidos'!$A$2:$A$29,$A154,'1 · BBDD Casos incluidos'!$AS$2:$AS$29,1,'1 · BBDD Casos incluidos'!$AW$2:$AW$29,1)&gt;0,1,0)</f>
        <v>0</v>
      </c>
      <c r="C154" s="34" t="n">
        <f aca="false">IF(COUNTIFS('1 · BBDD Casos incluidos'!$A$2:$A$29,$A154,'1 · BBDD Casos incluidos'!$AT$2:$AT$29,1,'1 · BBDD Casos incluidos'!$AW$2:$AW$29,1)&gt;0,1,0)</f>
        <v>0</v>
      </c>
      <c r="D154" s="34" t="n">
        <f aca="false">IF(COUNTIFS('1 · BBDD Casos incluidos'!$A$2:$A$29,$A154,'1 · BBDD Casos incluidos'!$AU$2:$AU$29,1,'1 · BBDD Casos incluidos'!$AW$2:$AW$29,1)&gt;0,1,0)</f>
        <v>0</v>
      </c>
      <c r="E154" s="34" t="n">
        <f aca="false">IF(COUNTIFS('1 · BBDD Casos incluidos'!$A$2:$A$29,$A154,'1 · BBDD Casos incluidos'!$AV$2:$AV$29,1,'1 · BBDD Casos incluidos'!$AW$2:$AW$29,1)&gt;0,1,0)</f>
        <v>1</v>
      </c>
    </row>
    <row r="155" customFormat="false" ht="15" hidden="false" customHeight="false" outlineLevel="0" collapsed="false">
      <c r="A155" s="6" t="str">
        <f aca="false">A17</f>
        <v>PE</v>
      </c>
      <c r="B155" s="34" t="n">
        <f aca="false">IF(COUNTIFS('1 · BBDD Casos incluidos'!$A$2:$A$29,$A155,'1 · BBDD Casos incluidos'!$AS$2:$AS$29,1,'1 · BBDD Casos incluidos'!$AW$2:$AW$29,1)&gt;0,1,0)</f>
        <v>0</v>
      </c>
      <c r="C155" s="34" t="n">
        <f aca="false">IF(COUNTIFS('1 · BBDD Casos incluidos'!$A$2:$A$29,$A155,'1 · BBDD Casos incluidos'!$AT$2:$AT$29,1,'1 · BBDD Casos incluidos'!$AW$2:$AW$29,1)&gt;0,1,0)</f>
        <v>0</v>
      </c>
      <c r="D155" s="34" t="n">
        <f aca="false">IF(COUNTIFS('1 · BBDD Casos incluidos'!$A$2:$A$29,$A155,'1 · BBDD Casos incluidos'!$AU$2:$AU$29,1,'1 · BBDD Casos incluidos'!$AW$2:$AW$29,1)&gt;0,1,0)</f>
        <v>0</v>
      </c>
      <c r="E155" s="34" t="n">
        <f aca="false">IF(COUNTIFS('1 · BBDD Casos incluidos'!$A$2:$A$29,$A155,'1 · BBDD Casos incluidos'!$AV$2:$AV$29,1,'1 · BBDD Casos incluidos'!$AW$2:$AW$29,1)&gt;0,1,0)</f>
        <v>0</v>
      </c>
    </row>
    <row r="156" customFormat="false" ht="15" hidden="false" customHeight="false" outlineLevel="0" collapsed="false">
      <c r="A156" s="6" t="str">
        <f aca="false">A18</f>
        <v>PY</v>
      </c>
      <c r="B156" s="34" t="n">
        <f aca="false">IF(COUNTIFS('1 · BBDD Casos incluidos'!$A$2:$A$29,$A156,'1 · BBDD Casos incluidos'!$AS$2:$AS$29,1,'1 · BBDD Casos incluidos'!$AW$2:$AW$29,1)&gt;0,1,0)</f>
        <v>0</v>
      </c>
      <c r="C156" s="34" t="n">
        <f aca="false">IF(COUNTIFS('1 · BBDD Casos incluidos'!$A$2:$A$29,$A156,'1 · BBDD Casos incluidos'!$AT$2:$AT$29,1,'1 · BBDD Casos incluidos'!$AW$2:$AW$29,1)&gt;0,1,0)</f>
        <v>0</v>
      </c>
      <c r="D156" s="34" t="n">
        <f aca="false">IF(COUNTIFS('1 · BBDD Casos incluidos'!$A$2:$A$29,$A156,'1 · BBDD Casos incluidos'!$AU$2:$AU$29,1,'1 · BBDD Casos incluidos'!$AW$2:$AW$29,1)&gt;0,1,0)</f>
        <v>0</v>
      </c>
      <c r="E156" s="34" t="n">
        <f aca="false">IF(COUNTIFS('1 · BBDD Casos incluidos'!$A$2:$A$29,$A156,'1 · BBDD Casos incluidos'!$AV$2:$AV$29,1,'1 · BBDD Casos incluidos'!$AW$2:$AW$29,1)&gt;0,1,0)</f>
        <v>0</v>
      </c>
    </row>
    <row r="157" customFormat="false" ht="15" hidden="false" customHeight="false" outlineLevel="0" collapsed="false">
      <c r="A157" s="6" t="str">
        <f aca="false">A19</f>
        <v>SV</v>
      </c>
      <c r="B157" s="34" t="n">
        <f aca="false">IF(COUNTIFS('1 · BBDD Casos incluidos'!$A$2:$A$29,$A157,'1 · BBDD Casos incluidos'!$AS$2:$AS$29,1,'1 · BBDD Casos incluidos'!$AW$2:$AW$29,1)&gt;0,1,0)</f>
        <v>0</v>
      </c>
      <c r="C157" s="34" t="n">
        <f aca="false">IF(COUNTIFS('1 · BBDD Casos incluidos'!$A$2:$A$29,$A157,'1 · BBDD Casos incluidos'!$AT$2:$AT$29,1,'1 · BBDD Casos incluidos'!$AW$2:$AW$29,1)&gt;0,1,0)</f>
        <v>0</v>
      </c>
      <c r="D157" s="34" t="n">
        <f aca="false">IF(COUNTIFS('1 · BBDD Casos incluidos'!$A$2:$A$29,$A157,'1 · BBDD Casos incluidos'!$AU$2:$AU$29,1,'1 · BBDD Casos incluidos'!$AW$2:$AW$29,1)&gt;0,1,0)</f>
        <v>0</v>
      </c>
      <c r="E157" s="34" t="n">
        <f aca="false">IF(COUNTIFS('1 · BBDD Casos incluidos'!$A$2:$A$29,$A157,'1 · BBDD Casos incluidos'!$AV$2:$AV$29,1,'1 · BBDD Casos incluidos'!$AW$2:$AW$29,1)&gt;0,1,0)</f>
        <v>0</v>
      </c>
    </row>
    <row r="158" customFormat="false" ht="15" hidden="false" customHeight="false" outlineLevel="0" collapsed="false">
      <c r="A158" s="6" t="str">
        <f aca="false">A20</f>
        <v>TT</v>
      </c>
      <c r="B158" s="34" t="n">
        <f aca="false">IF(COUNTIFS('1 · BBDD Casos incluidos'!$A$2:$A$29,$A158,'1 · BBDD Casos incluidos'!$AS$2:$AS$29,1,'1 · BBDD Casos incluidos'!$AW$2:$AW$29,1)&gt;0,1,0)</f>
        <v>0</v>
      </c>
      <c r="C158" s="34" t="n">
        <f aca="false">IF(COUNTIFS('1 · BBDD Casos incluidos'!$A$2:$A$29,$A158,'1 · BBDD Casos incluidos'!$AT$2:$AT$29,1,'1 · BBDD Casos incluidos'!$AW$2:$AW$29,1)&gt;0,1,0)</f>
        <v>0</v>
      </c>
      <c r="D158" s="34" t="n">
        <f aca="false">IF(COUNTIFS('1 · BBDD Casos incluidos'!$A$2:$A$29,$A158,'1 · BBDD Casos incluidos'!$AU$2:$AU$29,1,'1 · BBDD Casos incluidos'!$AW$2:$AW$29,1)&gt;0,1,0)</f>
        <v>0</v>
      </c>
      <c r="E158" s="34" t="n">
        <f aca="false">IF(COUNTIFS('1 · BBDD Casos incluidos'!$A$2:$A$29,$A158,'1 · BBDD Casos incluidos'!$AV$2:$AV$29,1,'1 · BBDD Casos incluidos'!$AW$2:$AW$29,1)&gt;0,1,0)</f>
        <v>0</v>
      </c>
    </row>
    <row r="159" customFormat="false" ht="15" hidden="false" customHeight="false" outlineLevel="0" collapsed="false">
      <c r="A159" s="6" t="str">
        <f aca="false">A21</f>
        <v>UY</v>
      </c>
      <c r="B159" s="34" t="n">
        <f aca="false">IF(COUNTIFS('1 · BBDD Casos incluidos'!$A$2:$A$29,$A159,'1 · BBDD Casos incluidos'!$AS$2:$AS$29,1,'1 · BBDD Casos incluidos'!$AW$2:$AW$29,1)&gt;0,1,0)</f>
        <v>0</v>
      </c>
      <c r="C159" s="34" t="n">
        <f aca="false">IF(COUNTIFS('1 · BBDD Casos incluidos'!$A$2:$A$29,$A159,'1 · BBDD Casos incluidos'!$AT$2:$AT$29,1,'1 · BBDD Casos incluidos'!$AW$2:$AW$29,1)&gt;0,1,0)</f>
        <v>0</v>
      </c>
      <c r="D159" s="34" t="n">
        <f aca="false">IF(COUNTIFS('1 · BBDD Casos incluidos'!$A$2:$A$29,$A159,'1 · BBDD Casos incluidos'!$AU$2:$AU$29,1,'1 · BBDD Casos incluidos'!$AW$2:$AW$29,1)&gt;0,1,0)</f>
        <v>0</v>
      </c>
      <c r="E159" s="34" t="n">
        <f aca="false">IF(COUNTIFS('1 · BBDD Casos incluidos'!$A$2:$A$29,$A159,'1 · BBDD Casos incluidos'!$AV$2:$AV$29,1,'1 · BBDD Casos incluidos'!$AW$2:$AW$29,1)&gt;0,1,0)</f>
        <v>0</v>
      </c>
    </row>
    <row r="160" customFormat="false" ht="15" hidden="false" customHeight="false" outlineLevel="0" collapsed="false">
      <c r="A160" s="6" t="str">
        <f aca="false">A22</f>
        <v>VE</v>
      </c>
      <c r="B160" s="34" t="n">
        <f aca="false">IF(COUNTIFS('1 · BBDD Casos incluidos'!$A$2:$A$29,$A160,'1 · BBDD Casos incluidos'!$AS$2:$AS$29,1,'1 · BBDD Casos incluidos'!$AW$2:$AW$29,1)&gt;0,1,0)</f>
        <v>0</v>
      </c>
      <c r="C160" s="34" t="n">
        <f aca="false">IF(COUNTIFS('1 · BBDD Casos incluidos'!$A$2:$A$29,$A160,'1 · BBDD Casos incluidos'!$AT$2:$AT$29,1,'1 · BBDD Casos incluidos'!$AW$2:$AW$29,1)&gt;0,1,0)</f>
        <v>0</v>
      </c>
      <c r="D160" s="34" t="n">
        <f aca="false">IF(COUNTIFS('1 · BBDD Casos incluidos'!$A$2:$A$29,$A160,'1 · BBDD Casos incluidos'!$AU$2:$AU$29,1,'1 · BBDD Casos incluidos'!$AW$2:$AW$29,1)&gt;0,1,0)</f>
        <v>1</v>
      </c>
      <c r="E160" s="34" t="n">
        <f aca="false">IF(COUNTIFS('1 · BBDD Casos incluidos'!$A$2:$A$29,$A160,'1 · BBDD Casos incluidos'!$AV$2:$AV$29,1,'1 · BBDD Casos incluidos'!$AW$2:$AW$29,1)&gt;0,1,0)</f>
        <v>0</v>
      </c>
    </row>
    <row r="163" customFormat="false" ht="15" hidden="false" customHeight="false" outlineLevel="0" collapsed="false">
      <c r="A163" s="32" t="s">
        <v>363</v>
      </c>
    </row>
    <row r="164" customFormat="false" ht="15" hidden="false" customHeight="false" outlineLevel="0" collapsed="false">
      <c r="A164" s="33" t="s">
        <v>306</v>
      </c>
      <c r="B164" s="33" t="s">
        <v>67</v>
      </c>
      <c r="C164" s="33" t="s">
        <v>106</v>
      </c>
      <c r="D164" s="33" t="s">
        <v>135</v>
      </c>
      <c r="E164" s="33" t="s">
        <v>244</v>
      </c>
    </row>
    <row r="165" customFormat="false" ht="15" hidden="false" customHeight="false" outlineLevel="0" collapsed="false">
      <c r="A165" s="6" t="str">
        <f aca="false">A3</f>
        <v>AR</v>
      </c>
      <c r="B165" s="34" t="n">
        <f aca="false">IF(COUNTIFS('1 · BBDD Casos incluidos'!$A$2:$A$29,$A165,'1 · BBDD Casos incluidos'!$AS$2:$AS$29,1,'1 · BBDD Casos incluidos'!$AX$2:$AX$29,1)&gt;0,1,0)</f>
        <v>0</v>
      </c>
      <c r="C165" s="34" t="n">
        <f aca="false">IF(COUNTIFS('1 · BBDD Casos incluidos'!$A$2:$A$29,$A165,'1 · BBDD Casos incluidos'!$AT$2:$AT$29,1,'1 · BBDD Casos incluidos'!$AX$2:$AX$29,1)&gt;0,1,0)</f>
        <v>0</v>
      </c>
      <c r="D165" s="34" t="n">
        <f aca="false">IF(COUNTIFS('1 · BBDD Casos incluidos'!$A$2:$A$29,$A165,'1 · BBDD Casos incluidos'!$AU$2:$AU$29,1,'1 · BBDD Casos incluidos'!$AX$2:$AX$29,1)&gt;0,1,0)</f>
        <v>0</v>
      </c>
      <c r="E165" s="34" t="n">
        <f aca="false">IF(COUNTIFS('1 · BBDD Casos incluidos'!$A$2:$A$29,$A165,'1 · BBDD Casos incluidos'!$AV$2:$AV$29,1,'1 · BBDD Casos incluidos'!$AX$2:$AX$29,1)&gt;0,1,0)</f>
        <v>0</v>
      </c>
    </row>
    <row r="166" customFormat="false" ht="15" hidden="false" customHeight="false" outlineLevel="0" collapsed="false">
      <c r="A166" s="6" t="str">
        <f aca="false">A4</f>
        <v>BO</v>
      </c>
      <c r="B166" s="34" t="n">
        <f aca="false">IF(COUNTIFS('1 · BBDD Casos incluidos'!$A$2:$A$29,$A166,'1 · BBDD Casos incluidos'!$AS$2:$AS$29,1,'1 · BBDD Casos incluidos'!$AX$2:$AX$29,1)&gt;0,1,0)</f>
        <v>1</v>
      </c>
      <c r="C166" s="34" t="n">
        <f aca="false">IF(COUNTIFS('1 · BBDD Casos incluidos'!$A$2:$A$29,$A166,'1 · BBDD Casos incluidos'!$AT$2:$AT$29,1,'1 · BBDD Casos incluidos'!$AX$2:$AX$29,1)&gt;0,1,0)</f>
        <v>0</v>
      </c>
      <c r="D166" s="34" t="n">
        <f aca="false">IF(COUNTIFS('1 · BBDD Casos incluidos'!$A$2:$A$29,$A166,'1 · BBDD Casos incluidos'!$AU$2:$AU$29,1,'1 · BBDD Casos incluidos'!$AX$2:$AX$29,1)&gt;0,1,0)</f>
        <v>0</v>
      </c>
      <c r="E166" s="34" t="n">
        <f aca="false">IF(COUNTIFS('1 · BBDD Casos incluidos'!$A$2:$A$29,$A166,'1 · BBDD Casos incluidos'!$AV$2:$AV$29,1,'1 · BBDD Casos incluidos'!$AX$2:$AX$29,1)&gt;0,1,0)</f>
        <v>0</v>
      </c>
    </row>
    <row r="167" customFormat="false" ht="15" hidden="false" customHeight="false" outlineLevel="0" collapsed="false">
      <c r="A167" s="6" t="str">
        <f aca="false">A5</f>
        <v>BR</v>
      </c>
      <c r="B167" s="34" t="n">
        <f aca="false">IF(COUNTIFS('1 · BBDD Casos incluidos'!$A$2:$A$29,$A167,'1 · BBDD Casos incluidos'!$AS$2:$AS$29,1,'1 · BBDD Casos incluidos'!$AX$2:$AX$29,1)&gt;0,1,0)</f>
        <v>1</v>
      </c>
      <c r="C167" s="34" t="n">
        <f aca="false">IF(COUNTIFS('1 · BBDD Casos incluidos'!$A$2:$A$29,$A167,'1 · BBDD Casos incluidos'!$AT$2:$AT$29,1,'1 · BBDD Casos incluidos'!$AX$2:$AX$29,1)&gt;0,1,0)</f>
        <v>1</v>
      </c>
      <c r="D167" s="34" t="n">
        <f aca="false">IF(COUNTIFS('1 · BBDD Casos incluidos'!$A$2:$A$29,$A167,'1 · BBDD Casos incluidos'!$AU$2:$AU$29,1,'1 · BBDD Casos incluidos'!$AX$2:$AX$29,1)&gt;0,1,0)</f>
        <v>1</v>
      </c>
      <c r="E167" s="34" t="n">
        <f aca="false">IF(COUNTIFS('1 · BBDD Casos incluidos'!$A$2:$A$29,$A167,'1 · BBDD Casos incluidos'!$AV$2:$AV$29,1,'1 · BBDD Casos incluidos'!$AX$2:$AX$29,1)&gt;0,1,0)</f>
        <v>0</v>
      </c>
    </row>
    <row r="168" customFormat="false" ht="15" hidden="false" customHeight="false" outlineLevel="0" collapsed="false">
      <c r="A168" s="6" t="str">
        <f aca="false">A6</f>
        <v>CL</v>
      </c>
      <c r="B168" s="34" t="n">
        <f aca="false">IF(COUNTIFS('1 · BBDD Casos incluidos'!$A$2:$A$29,$A168,'1 · BBDD Casos incluidos'!$AS$2:$AS$29,1,'1 · BBDD Casos incluidos'!$AX$2:$AX$29,1)&gt;0,1,0)</f>
        <v>0</v>
      </c>
      <c r="C168" s="34" t="n">
        <f aca="false">IF(COUNTIFS('1 · BBDD Casos incluidos'!$A$2:$A$29,$A168,'1 · BBDD Casos incluidos'!$AT$2:$AT$29,1,'1 · BBDD Casos incluidos'!$AX$2:$AX$29,1)&gt;0,1,0)</f>
        <v>1</v>
      </c>
      <c r="D168" s="34" t="n">
        <f aca="false">IF(COUNTIFS('1 · BBDD Casos incluidos'!$A$2:$A$29,$A168,'1 · BBDD Casos incluidos'!$AU$2:$AU$29,1,'1 · BBDD Casos incluidos'!$AX$2:$AX$29,1)&gt;0,1,0)</f>
        <v>0</v>
      </c>
      <c r="E168" s="34" t="n">
        <f aca="false">IF(COUNTIFS('1 · BBDD Casos incluidos'!$A$2:$A$29,$A168,'1 · BBDD Casos incluidos'!$AV$2:$AV$29,1,'1 · BBDD Casos incluidos'!$AX$2:$AX$29,1)&gt;0,1,0)</f>
        <v>0</v>
      </c>
    </row>
    <row r="169" customFormat="false" ht="15" hidden="false" customHeight="false" outlineLevel="0" collapsed="false">
      <c r="A169" s="6" t="str">
        <f aca="false">A7</f>
        <v>CO</v>
      </c>
      <c r="B169" s="34" t="n">
        <f aca="false">IF(COUNTIFS('1 · BBDD Casos incluidos'!$A$2:$A$29,$A169,'1 · BBDD Casos incluidos'!$AS$2:$AS$29,1,'1 · BBDD Casos incluidos'!$AX$2:$AX$29,1)&gt;0,1,0)</f>
        <v>0</v>
      </c>
      <c r="C169" s="34" t="n">
        <f aca="false">IF(COUNTIFS('1 · BBDD Casos incluidos'!$A$2:$A$29,$A169,'1 · BBDD Casos incluidos'!$AT$2:$AT$29,1,'1 · BBDD Casos incluidos'!$AX$2:$AX$29,1)&gt;0,1,0)</f>
        <v>0</v>
      </c>
      <c r="D169" s="34" t="n">
        <f aca="false">IF(COUNTIFS('1 · BBDD Casos incluidos'!$A$2:$A$29,$A169,'1 · BBDD Casos incluidos'!$AU$2:$AU$29,1,'1 · BBDD Casos incluidos'!$AX$2:$AX$29,1)&gt;0,1,0)</f>
        <v>1</v>
      </c>
      <c r="E169" s="34" t="n">
        <f aca="false">IF(COUNTIFS('1 · BBDD Casos incluidos'!$A$2:$A$29,$A169,'1 · BBDD Casos incluidos'!$AV$2:$AV$29,1,'1 · BBDD Casos incluidos'!$AX$2:$AX$29,1)&gt;0,1,0)</f>
        <v>0</v>
      </c>
    </row>
    <row r="170" customFormat="false" ht="15" hidden="false" customHeight="false" outlineLevel="0" collapsed="false">
      <c r="A170" s="6" t="str">
        <f aca="false">A8</f>
        <v>CR</v>
      </c>
      <c r="B170" s="34" t="n">
        <f aca="false">IF(COUNTIFS('1 · BBDD Casos incluidos'!$A$2:$A$29,$A170,'1 · BBDD Casos incluidos'!$AS$2:$AS$29,1,'1 · BBDD Casos incluidos'!$AX$2:$AX$29,1)&gt;0,1,0)</f>
        <v>0</v>
      </c>
      <c r="C170" s="34" t="n">
        <f aca="false">IF(COUNTIFS('1 · BBDD Casos incluidos'!$A$2:$A$29,$A170,'1 · BBDD Casos incluidos'!$AT$2:$AT$29,1,'1 · BBDD Casos incluidos'!$AX$2:$AX$29,1)&gt;0,1,0)</f>
        <v>0</v>
      </c>
      <c r="D170" s="34" t="n">
        <f aca="false">IF(COUNTIFS('1 · BBDD Casos incluidos'!$A$2:$A$29,$A170,'1 · BBDD Casos incluidos'!$AU$2:$AU$29,1,'1 · BBDD Casos incluidos'!$AX$2:$AX$29,1)&gt;0,1,0)</f>
        <v>0</v>
      </c>
      <c r="E170" s="34" t="n">
        <f aca="false">IF(COUNTIFS('1 · BBDD Casos incluidos'!$A$2:$A$29,$A170,'1 · BBDD Casos incluidos'!$AV$2:$AV$29,1,'1 · BBDD Casos incluidos'!$AX$2:$AX$29,1)&gt;0,1,0)</f>
        <v>0</v>
      </c>
    </row>
    <row r="171" customFormat="false" ht="15" hidden="false" customHeight="false" outlineLevel="0" collapsed="false">
      <c r="A171" s="6" t="str">
        <f aca="false">A9</f>
        <v>CU</v>
      </c>
      <c r="B171" s="34" t="n">
        <f aca="false">IF(COUNTIFS('1 · BBDD Casos incluidos'!$A$2:$A$29,$A171,'1 · BBDD Casos incluidos'!$AS$2:$AS$29,1,'1 · BBDD Casos incluidos'!$AX$2:$AX$29,1)&gt;0,1,0)</f>
        <v>0</v>
      </c>
      <c r="C171" s="34" t="n">
        <f aca="false">IF(COUNTIFS('1 · BBDD Casos incluidos'!$A$2:$A$29,$A171,'1 · BBDD Casos incluidos'!$AT$2:$AT$29,1,'1 · BBDD Casos incluidos'!$AX$2:$AX$29,1)&gt;0,1,0)</f>
        <v>0</v>
      </c>
      <c r="D171" s="34" t="n">
        <f aca="false">IF(COUNTIFS('1 · BBDD Casos incluidos'!$A$2:$A$29,$A171,'1 · BBDD Casos incluidos'!$AU$2:$AU$29,1,'1 · BBDD Casos incluidos'!$AX$2:$AX$29,1)&gt;0,1,0)</f>
        <v>0</v>
      </c>
      <c r="E171" s="34" t="n">
        <f aca="false">IF(COUNTIFS('1 · BBDD Casos incluidos'!$A$2:$A$29,$A171,'1 · BBDD Casos incluidos'!$AV$2:$AV$29,1,'1 · BBDD Casos incluidos'!$AX$2:$AX$29,1)&gt;0,1,0)</f>
        <v>0</v>
      </c>
    </row>
    <row r="172" customFormat="false" ht="15" hidden="false" customHeight="false" outlineLevel="0" collapsed="false">
      <c r="A172" s="6" t="str">
        <f aca="false">A10</f>
        <v>DO</v>
      </c>
      <c r="B172" s="34" t="n">
        <f aca="false">IF(COUNTIFS('1 · BBDD Casos incluidos'!$A$2:$A$29,$A172,'1 · BBDD Casos incluidos'!$AS$2:$AS$29,1,'1 · BBDD Casos incluidos'!$AX$2:$AX$29,1)&gt;0,1,0)</f>
        <v>0</v>
      </c>
      <c r="C172" s="34" t="n">
        <f aca="false">IF(COUNTIFS('1 · BBDD Casos incluidos'!$A$2:$A$29,$A172,'1 · BBDD Casos incluidos'!$AT$2:$AT$29,1,'1 · BBDD Casos incluidos'!$AX$2:$AX$29,1)&gt;0,1,0)</f>
        <v>0</v>
      </c>
      <c r="D172" s="34" t="n">
        <f aca="false">IF(COUNTIFS('1 · BBDD Casos incluidos'!$A$2:$A$29,$A172,'1 · BBDD Casos incluidos'!$AU$2:$AU$29,1,'1 · BBDD Casos incluidos'!$AX$2:$AX$29,1)&gt;0,1,0)</f>
        <v>0</v>
      </c>
      <c r="E172" s="34" t="n">
        <f aca="false">IF(COUNTIFS('1 · BBDD Casos incluidos'!$A$2:$A$29,$A172,'1 · BBDD Casos incluidos'!$AV$2:$AV$29,1,'1 · BBDD Casos incluidos'!$AX$2:$AX$29,1)&gt;0,1,0)</f>
        <v>0</v>
      </c>
    </row>
    <row r="173" customFormat="false" ht="15" hidden="false" customHeight="false" outlineLevel="0" collapsed="false">
      <c r="A173" s="6" t="str">
        <f aca="false">A11</f>
        <v>EC</v>
      </c>
      <c r="B173" s="34" t="n">
        <f aca="false">IF(COUNTIFS('1 · BBDD Casos incluidos'!$A$2:$A$29,$A173,'1 · BBDD Casos incluidos'!$AS$2:$AS$29,1,'1 · BBDD Casos incluidos'!$AX$2:$AX$29,1)&gt;0,1,0)</f>
        <v>0</v>
      </c>
      <c r="C173" s="34" t="n">
        <f aca="false">IF(COUNTIFS('1 · BBDD Casos incluidos'!$A$2:$A$29,$A173,'1 · BBDD Casos incluidos'!$AT$2:$AT$29,1,'1 · BBDD Casos incluidos'!$AX$2:$AX$29,1)&gt;0,1,0)</f>
        <v>0</v>
      </c>
      <c r="D173" s="34" t="n">
        <f aca="false">IF(COUNTIFS('1 · BBDD Casos incluidos'!$A$2:$A$29,$A173,'1 · BBDD Casos incluidos'!$AU$2:$AU$29,1,'1 · BBDD Casos incluidos'!$AX$2:$AX$29,1)&gt;0,1,0)</f>
        <v>0</v>
      </c>
      <c r="E173" s="34" t="n">
        <f aca="false">IF(COUNTIFS('1 · BBDD Casos incluidos'!$A$2:$A$29,$A173,'1 · BBDD Casos incluidos'!$AV$2:$AV$29,1,'1 · BBDD Casos incluidos'!$AX$2:$AX$29,1)&gt;0,1,0)</f>
        <v>0</v>
      </c>
    </row>
    <row r="174" customFormat="false" ht="15" hidden="false" customHeight="false" outlineLevel="0" collapsed="false">
      <c r="A174" s="6" t="str">
        <f aca="false">A12</f>
        <v>GT</v>
      </c>
      <c r="B174" s="34" t="n">
        <f aca="false">IF(COUNTIFS('1 · BBDD Casos incluidos'!$A$2:$A$29,$A174,'1 · BBDD Casos incluidos'!$AS$2:$AS$29,1,'1 · BBDD Casos incluidos'!$AX$2:$AX$29,1)&gt;0,1,0)</f>
        <v>1</v>
      </c>
      <c r="C174" s="34" t="n">
        <f aca="false">IF(COUNTIFS('1 · BBDD Casos incluidos'!$A$2:$A$29,$A174,'1 · BBDD Casos incluidos'!$AT$2:$AT$29,1,'1 · BBDD Casos incluidos'!$AX$2:$AX$29,1)&gt;0,1,0)</f>
        <v>0</v>
      </c>
      <c r="D174" s="34" t="n">
        <f aca="false">IF(COUNTIFS('1 · BBDD Casos incluidos'!$A$2:$A$29,$A174,'1 · BBDD Casos incluidos'!$AU$2:$AU$29,1,'1 · BBDD Casos incluidos'!$AX$2:$AX$29,1)&gt;0,1,0)</f>
        <v>0</v>
      </c>
      <c r="E174" s="34" t="n">
        <f aca="false">IF(COUNTIFS('1 · BBDD Casos incluidos'!$A$2:$A$29,$A174,'1 · BBDD Casos incluidos'!$AV$2:$AV$29,1,'1 · BBDD Casos incluidos'!$AX$2:$AX$29,1)&gt;0,1,0)</f>
        <v>0</v>
      </c>
    </row>
    <row r="175" customFormat="false" ht="15" hidden="false" customHeight="false" outlineLevel="0" collapsed="false">
      <c r="A175" s="6" t="str">
        <f aca="false">A13</f>
        <v>HN</v>
      </c>
      <c r="B175" s="34" t="n">
        <f aca="false">IF(COUNTIFS('1 · BBDD Casos incluidos'!$A$2:$A$29,$A175,'1 · BBDD Casos incluidos'!$AS$2:$AS$29,1,'1 · BBDD Casos incluidos'!$AX$2:$AX$29,1)&gt;0,1,0)</f>
        <v>0</v>
      </c>
      <c r="C175" s="34" t="n">
        <f aca="false">IF(COUNTIFS('1 · BBDD Casos incluidos'!$A$2:$A$29,$A175,'1 · BBDD Casos incluidos'!$AT$2:$AT$29,1,'1 · BBDD Casos incluidos'!$AX$2:$AX$29,1)&gt;0,1,0)</f>
        <v>0</v>
      </c>
      <c r="D175" s="34" t="n">
        <f aca="false">IF(COUNTIFS('1 · BBDD Casos incluidos'!$A$2:$A$29,$A175,'1 · BBDD Casos incluidos'!$AU$2:$AU$29,1,'1 · BBDD Casos incluidos'!$AX$2:$AX$29,1)&gt;0,1,0)</f>
        <v>0</v>
      </c>
      <c r="E175" s="34" t="n">
        <f aca="false">IF(COUNTIFS('1 · BBDD Casos incluidos'!$A$2:$A$29,$A175,'1 · BBDD Casos incluidos'!$AV$2:$AV$29,1,'1 · BBDD Casos incluidos'!$AX$2:$AX$29,1)&gt;0,1,0)</f>
        <v>0</v>
      </c>
    </row>
    <row r="176" customFormat="false" ht="15" hidden="false" customHeight="false" outlineLevel="0" collapsed="false">
      <c r="A176" s="6" t="str">
        <f aca="false">A14</f>
        <v>JM</v>
      </c>
      <c r="B176" s="34" t="n">
        <f aca="false">IF(COUNTIFS('1 · BBDD Casos incluidos'!$A$2:$A$29,$A176,'1 · BBDD Casos incluidos'!$AS$2:$AS$29,1,'1 · BBDD Casos incluidos'!$AX$2:$AX$29,1)&gt;0,1,0)</f>
        <v>0</v>
      </c>
      <c r="C176" s="34" t="n">
        <f aca="false">IF(COUNTIFS('1 · BBDD Casos incluidos'!$A$2:$A$29,$A176,'1 · BBDD Casos incluidos'!$AT$2:$AT$29,1,'1 · BBDD Casos incluidos'!$AX$2:$AX$29,1)&gt;0,1,0)</f>
        <v>0</v>
      </c>
      <c r="D176" s="34" t="n">
        <f aca="false">IF(COUNTIFS('1 · BBDD Casos incluidos'!$A$2:$A$29,$A176,'1 · BBDD Casos incluidos'!$AU$2:$AU$29,1,'1 · BBDD Casos incluidos'!$AX$2:$AX$29,1)&gt;0,1,0)</f>
        <v>0</v>
      </c>
      <c r="E176" s="34" t="n">
        <f aca="false">IF(COUNTIFS('1 · BBDD Casos incluidos'!$A$2:$A$29,$A176,'1 · BBDD Casos incluidos'!$AV$2:$AV$29,1,'1 · BBDD Casos incluidos'!$AX$2:$AX$29,1)&gt;0,1,0)</f>
        <v>0</v>
      </c>
    </row>
    <row r="177" customFormat="false" ht="15" hidden="false" customHeight="false" outlineLevel="0" collapsed="false">
      <c r="A177" s="6" t="str">
        <f aca="false">A15</f>
        <v>MX</v>
      </c>
      <c r="B177" s="34" t="n">
        <f aca="false">IF(COUNTIFS('1 · BBDD Casos incluidos'!$A$2:$A$29,$A177,'1 · BBDD Casos incluidos'!$AS$2:$AS$29,1,'1 · BBDD Casos incluidos'!$AX$2:$AX$29,1)&gt;0,1,0)</f>
        <v>0</v>
      </c>
      <c r="C177" s="34" t="n">
        <f aca="false">IF(COUNTIFS('1 · BBDD Casos incluidos'!$A$2:$A$29,$A177,'1 · BBDD Casos incluidos'!$AT$2:$AT$29,1,'1 · BBDD Casos incluidos'!$AX$2:$AX$29,1)&gt;0,1,0)</f>
        <v>0</v>
      </c>
      <c r="D177" s="34" t="n">
        <f aca="false">IF(COUNTIFS('1 · BBDD Casos incluidos'!$A$2:$A$29,$A177,'1 · BBDD Casos incluidos'!$AU$2:$AU$29,1,'1 · BBDD Casos incluidos'!$AX$2:$AX$29,1)&gt;0,1,0)</f>
        <v>0</v>
      </c>
      <c r="E177" s="34" t="n">
        <f aca="false">IF(COUNTIFS('1 · BBDD Casos incluidos'!$A$2:$A$29,$A177,'1 · BBDD Casos incluidos'!$AV$2:$AV$29,1,'1 · BBDD Casos incluidos'!$AX$2:$AX$29,1)&gt;0,1,0)</f>
        <v>0</v>
      </c>
    </row>
    <row r="178" customFormat="false" ht="15" hidden="false" customHeight="false" outlineLevel="0" collapsed="false">
      <c r="A178" s="6" t="str">
        <f aca="false">A16</f>
        <v>PA</v>
      </c>
      <c r="B178" s="34" t="n">
        <f aca="false">IF(COUNTIFS('1 · BBDD Casos incluidos'!$A$2:$A$29,$A178,'1 · BBDD Casos incluidos'!$AS$2:$AS$29,1,'1 · BBDD Casos incluidos'!$AX$2:$AX$29,1)&gt;0,1,0)</f>
        <v>0</v>
      </c>
      <c r="C178" s="34" t="n">
        <f aca="false">IF(COUNTIFS('1 · BBDD Casos incluidos'!$A$2:$A$29,$A178,'1 · BBDD Casos incluidos'!$AT$2:$AT$29,1,'1 · BBDD Casos incluidos'!$AX$2:$AX$29,1)&gt;0,1,0)</f>
        <v>0</v>
      </c>
      <c r="D178" s="34" t="n">
        <f aca="false">IF(COUNTIFS('1 · BBDD Casos incluidos'!$A$2:$A$29,$A178,'1 · BBDD Casos incluidos'!$AU$2:$AU$29,1,'1 · BBDD Casos incluidos'!$AX$2:$AX$29,1)&gt;0,1,0)</f>
        <v>0</v>
      </c>
      <c r="E178" s="34" t="n">
        <f aca="false">IF(COUNTIFS('1 · BBDD Casos incluidos'!$A$2:$A$29,$A178,'1 · BBDD Casos incluidos'!$AV$2:$AV$29,1,'1 · BBDD Casos incluidos'!$AX$2:$AX$29,1)&gt;0,1,0)</f>
        <v>0</v>
      </c>
    </row>
    <row r="179" customFormat="false" ht="15" hidden="false" customHeight="false" outlineLevel="0" collapsed="false">
      <c r="A179" s="6" t="str">
        <f aca="false">A17</f>
        <v>PE</v>
      </c>
      <c r="B179" s="34" t="n">
        <f aca="false">IF(COUNTIFS('1 · BBDD Casos incluidos'!$A$2:$A$29,$A179,'1 · BBDD Casos incluidos'!$AS$2:$AS$29,1,'1 · BBDD Casos incluidos'!$AX$2:$AX$29,1)&gt;0,1,0)</f>
        <v>1</v>
      </c>
      <c r="C179" s="34" t="n">
        <f aca="false">IF(COUNTIFS('1 · BBDD Casos incluidos'!$A$2:$A$29,$A179,'1 · BBDD Casos incluidos'!$AT$2:$AT$29,1,'1 · BBDD Casos incluidos'!$AX$2:$AX$29,1)&gt;0,1,0)</f>
        <v>0</v>
      </c>
      <c r="D179" s="34" t="n">
        <f aca="false">IF(COUNTIFS('1 · BBDD Casos incluidos'!$A$2:$A$29,$A179,'1 · BBDD Casos incluidos'!$AU$2:$AU$29,1,'1 · BBDD Casos incluidos'!$AX$2:$AX$29,1)&gt;0,1,0)</f>
        <v>0</v>
      </c>
      <c r="E179" s="34" t="n">
        <f aca="false">IF(COUNTIFS('1 · BBDD Casos incluidos'!$A$2:$A$29,$A179,'1 · BBDD Casos incluidos'!$AV$2:$AV$29,1,'1 · BBDD Casos incluidos'!$AX$2:$AX$29,1)&gt;0,1,0)</f>
        <v>0</v>
      </c>
    </row>
    <row r="180" customFormat="false" ht="15" hidden="false" customHeight="false" outlineLevel="0" collapsed="false">
      <c r="A180" s="6" t="str">
        <f aca="false">A18</f>
        <v>PY</v>
      </c>
      <c r="B180" s="34" t="n">
        <f aca="false">IF(COUNTIFS('1 · BBDD Casos incluidos'!$A$2:$A$29,$A180,'1 · BBDD Casos incluidos'!$AS$2:$AS$29,1,'1 · BBDD Casos incluidos'!$AX$2:$AX$29,1)&gt;0,1,0)</f>
        <v>0</v>
      </c>
      <c r="C180" s="34" t="n">
        <f aca="false">IF(COUNTIFS('1 · BBDD Casos incluidos'!$A$2:$A$29,$A180,'1 · BBDD Casos incluidos'!$AT$2:$AT$29,1,'1 · BBDD Casos incluidos'!$AX$2:$AX$29,1)&gt;0,1,0)</f>
        <v>0</v>
      </c>
      <c r="D180" s="34" t="n">
        <f aca="false">IF(COUNTIFS('1 · BBDD Casos incluidos'!$A$2:$A$29,$A180,'1 · BBDD Casos incluidos'!$AU$2:$AU$29,1,'1 · BBDD Casos incluidos'!$AX$2:$AX$29,1)&gt;0,1,0)</f>
        <v>0</v>
      </c>
      <c r="E180" s="34" t="n">
        <f aca="false">IF(COUNTIFS('1 · BBDD Casos incluidos'!$A$2:$A$29,$A180,'1 · BBDD Casos incluidos'!$AV$2:$AV$29,1,'1 · BBDD Casos incluidos'!$AX$2:$AX$29,1)&gt;0,1,0)</f>
        <v>0</v>
      </c>
    </row>
    <row r="181" customFormat="false" ht="15" hidden="false" customHeight="false" outlineLevel="0" collapsed="false">
      <c r="A181" s="6" t="str">
        <f aca="false">A19</f>
        <v>SV</v>
      </c>
      <c r="B181" s="34" t="n">
        <f aca="false">IF(COUNTIFS('1 · BBDD Casos incluidos'!$A$2:$A$29,$A181,'1 · BBDD Casos incluidos'!$AS$2:$AS$29,1,'1 · BBDD Casos incluidos'!$AX$2:$AX$29,1)&gt;0,1,0)</f>
        <v>0</v>
      </c>
      <c r="C181" s="34" t="n">
        <f aca="false">IF(COUNTIFS('1 · BBDD Casos incluidos'!$A$2:$A$29,$A181,'1 · BBDD Casos incluidos'!$AT$2:$AT$29,1,'1 · BBDD Casos incluidos'!$AX$2:$AX$29,1)&gt;0,1,0)</f>
        <v>0</v>
      </c>
      <c r="D181" s="34" t="n">
        <f aca="false">IF(COUNTIFS('1 · BBDD Casos incluidos'!$A$2:$A$29,$A181,'1 · BBDD Casos incluidos'!$AU$2:$AU$29,1,'1 · BBDD Casos incluidos'!$AX$2:$AX$29,1)&gt;0,1,0)</f>
        <v>0</v>
      </c>
      <c r="E181" s="34" t="n">
        <f aca="false">IF(COUNTIFS('1 · BBDD Casos incluidos'!$A$2:$A$29,$A181,'1 · BBDD Casos incluidos'!$AV$2:$AV$29,1,'1 · BBDD Casos incluidos'!$AX$2:$AX$29,1)&gt;0,1,0)</f>
        <v>0</v>
      </c>
    </row>
    <row r="182" customFormat="false" ht="15" hidden="false" customHeight="false" outlineLevel="0" collapsed="false">
      <c r="A182" s="6" t="str">
        <f aca="false">A20</f>
        <v>TT</v>
      </c>
      <c r="B182" s="34" t="n">
        <f aca="false">IF(COUNTIFS('1 · BBDD Casos incluidos'!$A$2:$A$29,$A182,'1 · BBDD Casos incluidos'!$AS$2:$AS$29,1,'1 · BBDD Casos incluidos'!$AX$2:$AX$29,1)&gt;0,1,0)</f>
        <v>0</v>
      </c>
      <c r="C182" s="34" t="n">
        <f aca="false">IF(COUNTIFS('1 · BBDD Casos incluidos'!$A$2:$A$29,$A182,'1 · BBDD Casos incluidos'!$AT$2:$AT$29,1,'1 · BBDD Casos incluidos'!$AX$2:$AX$29,1)&gt;0,1,0)</f>
        <v>0</v>
      </c>
      <c r="D182" s="34" t="n">
        <f aca="false">IF(COUNTIFS('1 · BBDD Casos incluidos'!$A$2:$A$29,$A182,'1 · BBDD Casos incluidos'!$AU$2:$AU$29,1,'1 · BBDD Casos incluidos'!$AX$2:$AX$29,1)&gt;0,1,0)</f>
        <v>0</v>
      </c>
      <c r="E182" s="34" t="n">
        <f aca="false">IF(COUNTIFS('1 · BBDD Casos incluidos'!$A$2:$A$29,$A182,'1 · BBDD Casos incluidos'!$AV$2:$AV$29,1,'1 · BBDD Casos incluidos'!$AX$2:$AX$29,1)&gt;0,1,0)</f>
        <v>0</v>
      </c>
    </row>
    <row r="183" customFormat="false" ht="15" hidden="false" customHeight="false" outlineLevel="0" collapsed="false">
      <c r="A183" s="6" t="str">
        <f aca="false">A21</f>
        <v>UY</v>
      </c>
      <c r="B183" s="34" t="n">
        <f aca="false">IF(COUNTIFS('1 · BBDD Casos incluidos'!$A$2:$A$29,$A183,'1 · BBDD Casos incluidos'!$AS$2:$AS$29,1,'1 · BBDD Casos incluidos'!$AX$2:$AX$29,1)&gt;0,1,0)</f>
        <v>0</v>
      </c>
      <c r="C183" s="34" t="n">
        <f aca="false">IF(COUNTIFS('1 · BBDD Casos incluidos'!$A$2:$A$29,$A183,'1 · BBDD Casos incluidos'!$AT$2:$AT$29,1,'1 · BBDD Casos incluidos'!$AX$2:$AX$29,1)&gt;0,1,0)</f>
        <v>0</v>
      </c>
      <c r="D183" s="34" t="n">
        <f aca="false">IF(COUNTIFS('1 · BBDD Casos incluidos'!$A$2:$A$29,$A183,'1 · BBDD Casos incluidos'!$AU$2:$AU$29,1,'1 · BBDD Casos incluidos'!$AX$2:$AX$29,1)&gt;0,1,0)</f>
        <v>0</v>
      </c>
      <c r="E183" s="34" t="n">
        <f aca="false">IF(COUNTIFS('1 · BBDD Casos incluidos'!$A$2:$A$29,$A183,'1 · BBDD Casos incluidos'!$AV$2:$AV$29,1,'1 · BBDD Casos incluidos'!$AX$2:$AX$29,1)&gt;0,1,0)</f>
        <v>1</v>
      </c>
    </row>
    <row r="184" customFormat="false" ht="15" hidden="false" customHeight="false" outlineLevel="0" collapsed="false">
      <c r="A184" s="6" t="str">
        <f aca="false">A22</f>
        <v>VE</v>
      </c>
      <c r="B184" s="34" t="n">
        <f aca="false">IF(COUNTIFS('1 · BBDD Casos incluidos'!$A$2:$A$29,$A184,'1 · BBDD Casos incluidos'!$AS$2:$AS$29,1,'1 · BBDD Casos incluidos'!$AX$2:$AX$29,1)&gt;0,1,0)</f>
        <v>0</v>
      </c>
      <c r="C184" s="34" t="n">
        <f aca="false">IF(COUNTIFS('1 · BBDD Casos incluidos'!$A$2:$A$29,$A184,'1 · BBDD Casos incluidos'!$AT$2:$AT$29,1,'1 · BBDD Casos incluidos'!$AX$2:$AX$29,1)&gt;0,1,0)</f>
        <v>0</v>
      </c>
      <c r="D184" s="34" t="n">
        <f aca="false">IF(COUNTIFS('1 · BBDD Casos incluidos'!$A$2:$A$29,$A184,'1 · BBDD Casos incluidos'!$AU$2:$AU$29,1,'1 · BBDD Casos incluidos'!$AX$2:$AX$29,1)&gt;0,1,0)</f>
        <v>0</v>
      </c>
      <c r="E184" s="34" t="n">
        <f aca="false">IF(COUNTIFS('1 · BBDD Casos incluidos'!$A$2:$A$29,$A184,'1 · BBDD Casos incluidos'!$AV$2:$AV$29,1,'1 · BBDD Casos incluidos'!$AX$2:$AX$29,1)&gt;0,1,0)</f>
        <v>0</v>
      </c>
    </row>
    <row r="187" customFormat="false" ht="15" hidden="false" customHeight="false" outlineLevel="0" collapsed="false">
      <c r="A187" s="32" t="s">
        <v>364</v>
      </c>
    </row>
    <row r="188" customFormat="false" ht="15" hidden="false" customHeight="false" outlineLevel="0" collapsed="false">
      <c r="A188" s="35" t="s">
        <v>365</v>
      </c>
      <c r="B188" s="33" t="s">
        <v>330</v>
      </c>
      <c r="C188" s="33" t="s">
        <v>71</v>
      </c>
      <c r="D188" s="33" t="s">
        <v>53</v>
      </c>
      <c r="E188" s="33" t="s">
        <v>147</v>
      </c>
      <c r="F188" s="33" t="s">
        <v>202</v>
      </c>
      <c r="G188" s="33" t="s">
        <v>331</v>
      </c>
      <c r="H188" s="33" t="s">
        <v>226</v>
      </c>
      <c r="I188" s="33" t="s">
        <v>332</v>
      </c>
      <c r="J188" s="33" t="s">
        <v>236</v>
      </c>
      <c r="K188" s="33" t="s">
        <v>246</v>
      </c>
      <c r="L188" s="33" t="s">
        <v>333</v>
      </c>
      <c r="M188" s="33" t="s">
        <v>334</v>
      </c>
      <c r="N188" s="33" t="s">
        <v>255</v>
      </c>
      <c r="O188" s="33" t="s">
        <v>263</v>
      </c>
      <c r="P188" s="33" t="s">
        <v>274</v>
      </c>
      <c r="Q188" s="33" t="s">
        <v>335</v>
      </c>
      <c r="R188" s="33" t="s">
        <v>336</v>
      </c>
      <c r="S188" s="33" t="s">
        <v>337</v>
      </c>
      <c r="T188" s="33" t="s">
        <v>281</v>
      </c>
      <c r="U188" s="33" t="s">
        <v>289</v>
      </c>
    </row>
    <row r="189" customFormat="false" ht="15" hidden="false" customHeight="false" outlineLevel="0" collapsed="false">
      <c r="A189" s="6" t="s">
        <v>366</v>
      </c>
      <c r="B189" s="36" t="n">
        <f aca="false">IF(COUNTIFS('1 · BBDD Casos incluidos'!$A$2:$A$29,B$188,'1 · BBDD Casos incluidos'!$AB$2:$AB$29,"*;"&amp;$A189&amp;";*")&gt;0,1,0)</f>
        <v>0</v>
      </c>
      <c r="C189" s="36" t="n">
        <f aca="false">IF(COUNTIFS('1 · BBDD Casos incluidos'!$A$2:$A$29,C$188,'1 · BBDD Casos incluidos'!$AB$2:$AB$29,"*;"&amp;$A189&amp;";*")&gt;0,1,0)</f>
        <v>0</v>
      </c>
      <c r="D189" s="36" t="n">
        <f aca="false">IF(COUNTIFS('1 · BBDD Casos incluidos'!$A$2:$A$29,D$188,'1 · BBDD Casos incluidos'!$AB$2:$AB$29,"*;"&amp;$A189&amp;";*")&gt;0,1,0)</f>
        <v>1</v>
      </c>
      <c r="E189" s="36" t="n">
        <f aca="false">IF(COUNTIFS('1 · BBDD Casos incluidos'!$A$2:$A$29,E$188,'1 · BBDD Casos incluidos'!$AB$2:$AB$29,"*;"&amp;$A189&amp;";*")&gt;0,1,0)</f>
        <v>0</v>
      </c>
      <c r="F189" s="36" t="n">
        <f aca="false">IF(COUNTIFS('1 · BBDD Casos incluidos'!$A$2:$A$29,F$188,'1 · BBDD Casos incluidos'!$AB$2:$AB$29,"*;"&amp;$A189&amp;";*")&gt;0,1,0)</f>
        <v>1</v>
      </c>
      <c r="G189" s="36" t="n">
        <f aca="false">IF(COUNTIFS('1 · BBDD Casos incluidos'!$A$2:$A$29,G$188,'1 · BBDD Casos incluidos'!$AB$2:$AB$29,"*;"&amp;$A189&amp;";*")&gt;0,1,0)</f>
        <v>0</v>
      </c>
      <c r="H189" s="36" t="n">
        <f aca="false">IF(COUNTIFS('1 · BBDD Casos incluidos'!$A$2:$A$29,H$188,'1 · BBDD Casos incluidos'!$AB$2:$AB$29,"*;"&amp;$A189&amp;";*")&gt;0,1,0)</f>
        <v>0</v>
      </c>
      <c r="I189" s="36" t="n">
        <f aca="false">IF(COUNTIFS('1 · BBDD Casos incluidos'!$A$2:$A$29,I$188,'1 · BBDD Casos incluidos'!$AB$2:$AB$29,"*;"&amp;$A189&amp;";*")&gt;0,1,0)</f>
        <v>0</v>
      </c>
      <c r="J189" s="36" t="n">
        <f aca="false">IF(COUNTIFS('1 · BBDD Casos incluidos'!$A$2:$A$29,J$188,'1 · BBDD Casos incluidos'!$AB$2:$AB$29,"*;"&amp;$A189&amp;";*")&gt;0,1,0)</f>
        <v>0</v>
      </c>
      <c r="K189" s="36" t="n">
        <f aca="false">IF(COUNTIFS('1 · BBDD Casos incluidos'!$A$2:$A$29,K$188,'1 · BBDD Casos incluidos'!$AB$2:$AB$29,"*;"&amp;$A189&amp;";*")&gt;0,1,0)</f>
        <v>0</v>
      </c>
      <c r="L189" s="36" t="n">
        <f aca="false">IF(COUNTIFS('1 · BBDD Casos incluidos'!$A$2:$A$29,L$188,'1 · BBDD Casos incluidos'!$AB$2:$AB$29,"*;"&amp;$A189&amp;";*")&gt;0,1,0)</f>
        <v>0</v>
      </c>
      <c r="M189" s="36" t="n">
        <f aca="false">IF(COUNTIFS('1 · BBDD Casos incluidos'!$A$2:$A$29,M$188,'1 · BBDD Casos incluidos'!$AB$2:$AB$29,"*;"&amp;$A189&amp;";*")&gt;0,1,0)</f>
        <v>0</v>
      </c>
      <c r="N189" s="36" t="n">
        <f aca="false">IF(COUNTIFS('1 · BBDD Casos incluidos'!$A$2:$A$29,N$188,'1 · BBDD Casos incluidos'!$AB$2:$AB$29,"*;"&amp;$A189&amp;";*")&gt;0,1,0)</f>
        <v>0</v>
      </c>
      <c r="O189" s="36" t="n">
        <f aca="false">IF(COUNTIFS('1 · BBDD Casos incluidos'!$A$2:$A$29,O$188,'1 · BBDD Casos incluidos'!$AB$2:$AB$29,"*;"&amp;$A189&amp;";*")&gt;0,1,0)</f>
        <v>0</v>
      </c>
      <c r="P189" s="36" t="n">
        <f aca="false">IF(COUNTIFS('1 · BBDD Casos incluidos'!$A$2:$A$29,P$188,'1 · BBDD Casos incluidos'!$AB$2:$AB$29,"*;"&amp;$A189&amp;";*")&gt;0,1,0)</f>
        <v>0</v>
      </c>
      <c r="Q189" s="36" t="n">
        <f aca="false">IF(COUNTIFS('1 · BBDD Casos incluidos'!$A$2:$A$29,Q$188,'1 · BBDD Casos incluidos'!$AB$2:$AB$29,"*;"&amp;$A189&amp;";*")&gt;0,1,0)</f>
        <v>0</v>
      </c>
      <c r="R189" s="36" t="n">
        <f aca="false">IF(COUNTIFS('1 · BBDD Casos incluidos'!$A$2:$A$29,R$188,'1 · BBDD Casos incluidos'!$AB$2:$AB$29,"*;"&amp;$A189&amp;";*")&gt;0,1,0)</f>
        <v>0</v>
      </c>
      <c r="S189" s="36" t="n">
        <f aca="false">IF(COUNTIFS('1 · BBDD Casos incluidos'!$A$2:$A$29,S$188,'1 · BBDD Casos incluidos'!$AB$2:$AB$29,"*;"&amp;$A189&amp;";*")&gt;0,1,0)</f>
        <v>0</v>
      </c>
      <c r="T189" s="36" t="n">
        <f aca="false">IF(COUNTIFS('1 · BBDD Casos incluidos'!$A$2:$A$29,T$188,'1 · BBDD Casos incluidos'!$AB$2:$AB$29,"*;"&amp;$A189&amp;";*")&gt;0,1,0)</f>
        <v>0</v>
      </c>
      <c r="U189" s="36" t="n">
        <f aca="false">IF(COUNTIFS('1 · BBDD Casos incluidos'!$A$2:$A$29,U$188,'1 · BBDD Casos incluidos'!$AB$2:$AB$29,"*;"&amp;$A189&amp;";*")&gt;0,1,0)</f>
        <v>0</v>
      </c>
    </row>
    <row r="190" customFormat="false" ht="15" hidden="false" customHeight="false" outlineLevel="0" collapsed="false">
      <c r="A190" s="6" t="s">
        <v>367</v>
      </c>
      <c r="B190" s="36" t="n">
        <f aca="false">IF(COUNTIFS('1 · BBDD Casos incluidos'!$A$2:$A$29,B$188,'1 · BBDD Casos incluidos'!$AB$2:$AB$29,"*;"&amp;$A190&amp;";*")&gt;0,1,0)</f>
        <v>0</v>
      </c>
      <c r="C190" s="36" t="n">
        <f aca="false">IF(COUNTIFS('1 · BBDD Casos incluidos'!$A$2:$A$29,C$188,'1 · BBDD Casos incluidos'!$AB$2:$AB$29,"*;"&amp;$A190&amp;";*")&gt;0,1,0)</f>
        <v>0</v>
      </c>
      <c r="D190" s="36" t="n">
        <f aca="false">IF(COUNTIFS('1 · BBDD Casos incluidos'!$A$2:$A$29,D$188,'1 · BBDD Casos incluidos'!$AB$2:$AB$29,"*;"&amp;$A190&amp;";*")&gt;0,1,0)</f>
        <v>1</v>
      </c>
      <c r="E190" s="36" t="n">
        <f aca="false">IF(COUNTIFS('1 · BBDD Casos incluidos'!$A$2:$A$29,E$188,'1 · BBDD Casos incluidos'!$AB$2:$AB$29,"*;"&amp;$A190&amp;";*")&gt;0,1,0)</f>
        <v>1</v>
      </c>
      <c r="F190" s="36" t="n">
        <f aca="false">IF(COUNTIFS('1 · BBDD Casos incluidos'!$A$2:$A$29,F$188,'1 · BBDD Casos incluidos'!$AB$2:$AB$29,"*;"&amp;$A190&amp;";*")&gt;0,1,0)</f>
        <v>1</v>
      </c>
      <c r="G190" s="36" t="n">
        <f aca="false">IF(COUNTIFS('1 · BBDD Casos incluidos'!$A$2:$A$29,G$188,'1 · BBDD Casos incluidos'!$AB$2:$AB$29,"*;"&amp;$A190&amp;";*")&gt;0,1,0)</f>
        <v>0</v>
      </c>
      <c r="H190" s="36" t="n">
        <f aca="false">IF(COUNTIFS('1 · BBDD Casos incluidos'!$A$2:$A$29,H$188,'1 · BBDD Casos incluidos'!$AB$2:$AB$29,"*;"&amp;$A190&amp;";*")&gt;0,1,0)</f>
        <v>1</v>
      </c>
      <c r="I190" s="36" t="n">
        <f aca="false">IF(COUNTIFS('1 · BBDD Casos incluidos'!$A$2:$A$29,I$188,'1 · BBDD Casos incluidos'!$AB$2:$AB$29,"*;"&amp;$A190&amp;";*")&gt;0,1,0)</f>
        <v>0</v>
      </c>
      <c r="J190" s="36" t="n">
        <f aca="false">IF(COUNTIFS('1 · BBDD Casos incluidos'!$A$2:$A$29,J$188,'1 · BBDD Casos incluidos'!$AB$2:$AB$29,"*;"&amp;$A190&amp;";*")&gt;0,1,0)</f>
        <v>0</v>
      </c>
      <c r="K190" s="36" t="n">
        <f aca="false">IF(COUNTIFS('1 · BBDD Casos incluidos'!$A$2:$A$29,K$188,'1 · BBDD Casos incluidos'!$AB$2:$AB$29,"*;"&amp;$A190&amp;";*")&gt;0,1,0)</f>
        <v>0</v>
      </c>
      <c r="L190" s="36" t="n">
        <f aca="false">IF(COUNTIFS('1 · BBDD Casos incluidos'!$A$2:$A$29,L$188,'1 · BBDD Casos incluidos'!$AB$2:$AB$29,"*;"&amp;$A190&amp;";*")&gt;0,1,0)</f>
        <v>0</v>
      </c>
      <c r="M190" s="36" t="n">
        <f aca="false">IF(COUNTIFS('1 · BBDD Casos incluidos'!$A$2:$A$29,M$188,'1 · BBDD Casos incluidos'!$AB$2:$AB$29,"*;"&amp;$A190&amp;";*")&gt;0,1,0)</f>
        <v>0</v>
      </c>
      <c r="N190" s="36" t="n">
        <f aca="false">IF(COUNTIFS('1 · BBDD Casos incluidos'!$A$2:$A$29,N$188,'1 · BBDD Casos incluidos'!$AB$2:$AB$29,"*;"&amp;$A190&amp;";*")&gt;0,1,0)</f>
        <v>1</v>
      </c>
      <c r="O190" s="36" t="n">
        <f aca="false">IF(COUNTIFS('1 · BBDD Casos incluidos'!$A$2:$A$29,O$188,'1 · BBDD Casos incluidos'!$AB$2:$AB$29,"*;"&amp;$A190&amp;";*")&gt;0,1,0)</f>
        <v>0</v>
      </c>
      <c r="P190" s="36" t="n">
        <f aca="false">IF(COUNTIFS('1 · BBDD Casos incluidos'!$A$2:$A$29,P$188,'1 · BBDD Casos incluidos'!$AB$2:$AB$29,"*;"&amp;$A190&amp;";*")&gt;0,1,0)</f>
        <v>0</v>
      </c>
      <c r="Q190" s="36" t="n">
        <f aca="false">IF(COUNTIFS('1 · BBDD Casos incluidos'!$A$2:$A$29,Q$188,'1 · BBDD Casos incluidos'!$AB$2:$AB$29,"*;"&amp;$A190&amp;";*")&gt;0,1,0)</f>
        <v>0</v>
      </c>
      <c r="R190" s="36" t="n">
        <f aca="false">IF(COUNTIFS('1 · BBDD Casos incluidos'!$A$2:$A$29,R$188,'1 · BBDD Casos incluidos'!$AB$2:$AB$29,"*;"&amp;$A190&amp;";*")&gt;0,1,0)</f>
        <v>0</v>
      </c>
      <c r="S190" s="36" t="n">
        <f aca="false">IF(COUNTIFS('1 · BBDD Casos incluidos'!$A$2:$A$29,S$188,'1 · BBDD Casos incluidos'!$AB$2:$AB$29,"*;"&amp;$A190&amp;";*")&gt;0,1,0)</f>
        <v>0</v>
      </c>
      <c r="T190" s="36" t="n">
        <f aca="false">IF(COUNTIFS('1 · BBDD Casos incluidos'!$A$2:$A$29,T$188,'1 · BBDD Casos incluidos'!$AB$2:$AB$29,"*;"&amp;$A190&amp;";*")&gt;0,1,0)</f>
        <v>0</v>
      </c>
      <c r="U190" s="36" t="n">
        <f aca="false">IF(COUNTIFS('1 · BBDD Casos incluidos'!$A$2:$A$29,U$188,'1 · BBDD Casos incluidos'!$AB$2:$AB$29,"*;"&amp;$A190&amp;";*")&gt;0,1,0)</f>
        <v>0</v>
      </c>
    </row>
    <row r="191" customFormat="false" ht="15" hidden="false" customHeight="false" outlineLevel="0" collapsed="false">
      <c r="A191" s="6" t="s">
        <v>368</v>
      </c>
      <c r="B191" s="36" t="n">
        <f aca="false">IF(COUNTIFS('1 · BBDD Casos incluidos'!$A$2:$A$29,B$188,'1 · BBDD Casos incluidos'!$AB$2:$AB$29,"*;"&amp;$A191&amp;";*")&gt;0,1,0)</f>
        <v>0</v>
      </c>
      <c r="C191" s="36" t="n">
        <f aca="false">IF(COUNTIFS('1 · BBDD Casos incluidos'!$A$2:$A$29,C$188,'1 · BBDD Casos incluidos'!$AB$2:$AB$29,"*;"&amp;$A191&amp;";*")&gt;0,1,0)</f>
        <v>1</v>
      </c>
      <c r="D191" s="36" t="n">
        <f aca="false">IF(COUNTIFS('1 · BBDD Casos incluidos'!$A$2:$A$29,D$188,'1 · BBDD Casos incluidos'!$AB$2:$AB$29,"*;"&amp;$A191&amp;";*")&gt;0,1,0)</f>
        <v>0</v>
      </c>
      <c r="E191" s="36" t="n">
        <f aca="false">IF(COUNTIFS('1 · BBDD Casos incluidos'!$A$2:$A$29,E$188,'1 · BBDD Casos incluidos'!$AB$2:$AB$29,"*;"&amp;$A191&amp;";*")&gt;0,1,0)</f>
        <v>1</v>
      </c>
      <c r="F191" s="36" t="n">
        <f aca="false">IF(COUNTIFS('1 · BBDD Casos incluidos'!$A$2:$A$29,F$188,'1 · BBDD Casos incluidos'!$AB$2:$AB$29,"*;"&amp;$A191&amp;";*")&gt;0,1,0)</f>
        <v>1</v>
      </c>
      <c r="G191" s="36" t="n">
        <f aca="false">IF(COUNTIFS('1 · BBDD Casos incluidos'!$A$2:$A$29,G$188,'1 · BBDD Casos incluidos'!$AB$2:$AB$29,"*;"&amp;$A191&amp;";*")&gt;0,1,0)</f>
        <v>0</v>
      </c>
      <c r="H191" s="36" t="n">
        <f aca="false">IF(COUNTIFS('1 · BBDD Casos incluidos'!$A$2:$A$29,H$188,'1 · BBDD Casos incluidos'!$AB$2:$AB$29,"*;"&amp;$A191&amp;";*")&gt;0,1,0)</f>
        <v>0</v>
      </c>
      <c r="I191" s="36" t="n">
        <f aca="false">IF(COUNTIFS('1 · BBDD Casos incluidos'!$A$2:$A$29,I$188,'1 · BBDD Casos incluidos'!$AB$2:$AB$29,"*;"&amp;$A191&amp;";*")&gt;0,1,0)</f>
        <v>0</v>
      </c>
      <c r="J191" s="36" t="n">
        <f aca="false">IF(COUNTIFS('1 · BBDD Casos incluidos'!$A$2:$A$29,J$188,'1 · BBDD Casos incluidos'!$AB$2:$AB$29,"*;"&amp;$A191&amp;";*")&gt;0,1,0)</f>
        <v>0</v>
      </c>
      <c r="K191" s="36" t="n">
        <f aca="false">IF(COUNTIFS('1 · BBDD Casos incluidos'!$A$2:$A$29,K$188,'1 · BBDD Casos incluidos'!$AB$2:$AB$29,"*;"&amp;$A191&amp;";*")&gt;0,1,0)</f>
        <v>1</v>
      </c>
      <c r="L191" s="36" t="n">
        <f aca="false">IF(COUNTIFS('1 · BBDD Casos incluidos'!$A$2:$A$29,L$188,'1 · BBDD Casos incluidos'!$AB$2:$AB$29,"*;"&amp;$A191&amp;";*")&gt;0,1,0)</f>
        <v>0</v>
      </c>
      <c r="M191" s="36" t="n">
        <f aca="false">IF(COUNTIFS('1 · BBDD Casos incluidos'!$A$2:$A$29,M$188,'1 · BBDD Casos incluidos'!$AB$2:$AB$29,"*;"&amp;$A191&amp;";*")&gt;0,1,0)</f>
        <v>0</v>
      </c>
      <c r="N191" s="36" t="n">
        <f aca="false">IF(COUNTIFS('1 · BBDD Casos incluidos'!$A$2:$A$29,N$188,'1 · BBDD Casos incluidos'!$AB$2:$AB$29,"*;"&amp;$A191&amp;";*")&gt;0,1,0)</f>
        <v>0</v>
      </c>
      <c r="O191" s="36" t="n">
        <f aca="false">IF(COUNTIFS('1 · BBDD Casos incluidos'!$A$2:$A$29,O$188,'1 · BBDD Casos incluidos'!$AB$2:$AB$29,"*;"&amp;$A191&amp;";*")&gt;0,1,0)</f>
        <v>0</v>
      </c>
      <c r="P191" s="36" t="n">
        <f aca="false">IF(COUNTIFS('1 · BBDD Casos incluidos'!$A$2:$A$29,P$188,'1 · BBDD Casos incluidos'!$AB$2:$AB$29,"*;"&amp;$A191&amp;";*")&gt;0,1,0)</f>
        <v>1</v>
      </c>
      <c r="Q191" s="36" t="n">
        <f aca="false">IF(COUNTIFS('1 · BBDD Casos incluidos'!$A$2:$A$29,Q$188,'1 · BBDD Casos incluidos'!$AB$2:$AB$29,"*;"&amp;$A191&amp;";*")&gt;0,1,0)</f>
        <v>0</v>
      </c>
      <c r="R191" s="36" t="n">
        <f aca="false">IF(COUNTIFS('1 · BBDD Casos incluidos'!$A$2:$A$29,R$188,'1 · BBDD Casos incluidos'!$AB$2:$AB$29,"*;"&amp;$A191&amp;";*")&gt;0,1,0)</f>
        <v>0</v>
      </c>
      <c r="S191" s="36" t="n">
        <f aca="false">IF(COUNTIFS('1 · BBDD Casos incluidos'!$A$2:$A$29,S$188,'1 · BBDD Casos incluidos'!$AB$2:$AB$29,"*;"&amp;$A191&amp;";*")&gt;0,1,0)</f>
        <v>0</v>
      </c>
      <c r="T191" s="36" t="n">
        <f aca="false">IF(COUNTIFS('1 · BBDD Casos incluidos'!$A$2:$A$29,T$188,'1 · BBDD Casos incluidos'!$AB$2:$AB$29,"*;"&amp;$A191&amp;";*")&gt;0,1,0)</f>
        <v>0</v>
      </c>
      <c r="U191" s="36" t="n">
        <f aca="false">IF(COUNTIFS('1 · BBDD Casos incluidos'!$A$2:$A$29,U$188,'1 · BBDD Casos incluidos'!$AB$2:$AB$29,"*;"&amp;$A191&amp;";*")&gt;0,1,0)</f>
        <v>0</v>
      </c>
    </row>
    <row r="192" customFormat="false" ht="15" hidden="false" customHeight="false" outlineLevel="0" collapsed="false">
      <c r="A192" s="6" t="s">
        <v>369</v>
      </c>
      <c r="B192" s="36" t="n">
        <f aca="false">IF(COUNTIFS('1 · BBDD Casos incluidos'!$A$2:$A$29,B$188,'1 · BBDD Casos incluidos'!$AB$2:$AB$29,"*;"&amp;$A192&amp;";*")&gt;0,1,0)</f>
        <v>0</v>
      </c>
      <c r="C192" s="36" t="n">
        <f aca="false">IF(COUNTIFS('1 · BBDD Casos incluidos'!$A$2:$A$29,C$188,'1 · BBDD Casos incluidos'!$AB$2:$AB$29,"*;"&amp;$A192&amp;";*")&gt;0,1,0)</f>
        <v>0</v>
      </c>
      <c r="D192" s="36" t="n">
        <f aca="false">IF(COUNTIFS('1 · BBDD Casos incluidos'!$A$2:$A$29,D$188,'1 · BBDD Casos incluidos'!$AB$2:$AB$29,"*;"&amp;$A192&amp;";*")&gt;0,1,0)</f>
        <v>1</v>
      </c>
      <c r="E192" s="36" t="n">
        <f aca="false">IF(COUNTIFS('1 · BBDD Casos incluidos'!$A$2:$A$29,E$188,'1 · BBDD Casos incluidos'!$AB$2:$AB$29,"*;"&amp;$A192&amp;";*")&gt;0,1,0)</f>
        <v>0</v>
      </c>
      <c r="F192" s="36" t="n">
        <f aca="false">IF(COUNTIFS('1 · BBDD Casos incluidos'!$A$2:$A$29,F$188,'1 · BBDD Casos incluidos'!$AB$2:$AB$29,"*;"&amp;$A192&amp;";*")&gt;0,1,0)</f>
        <v>0</v>
      </c>
      <c r="G192" s="36" t="n">
        <f aca="false">IF(COUNTIFS('1 · BBDD Casos incluidos'!$A$2:$A$29,G$188,'1 · BBDD Casos incluidos'!$AB$2:$AB$29,"*;"&amp;$A192&amp;";*")&gt;0,1,0)</f>
        <v>0</v>
      </c>
      <c r="H192" s="36" t="n">
        <f aca="false">IF(COUNTIFS('1 · BBDD Casos incluidos'!$A$2:$A$29,H$188,'1 · BBDD Casos incluidos'!$AB$2:$AB$29,"*;"&amp;$A192&amp;";*")&gt;0,1,0)</f>
        <v>0</v>
      </c>
      <c r="I192" s="36" t="n">
        <f aca="false">IF(COUNTIFS('1 · BBDD Casos incluidos'!$A$2:$A$29,I$188,'1 · BBDD Casos incluidos'!$AB$2:$AB$29,"*;"&amp;$A192&amp;";*")&gt;0,1,0)</f>
        <v>0</v>
      </c>
      <c r="J192" s="36" t="n">
        <f aca="false">IF(COUNTIFS('1 · BBDD Casos incluidos'!$A$2:$A$29,J$188,'1 · BBDD Casos incluidos'!$AB$2:$AB$29,"*;"&amp;$A192&amp;";*")&gt;0,1,0)</f>
        <v>0</v>
      </c>
      <c r="K192" s="36" t="n">
        <f aca="false">IF(COUNTIFS('1 · BBDD Casos incluidos'!$A$2:$A$29,K$188,'1 · BBDD Casos incluidos'!$AB$2:$AB$29,"*;"&amp;$A192&amp;";*")&gt;0,1,0)</f>
        <v>0</v>
      </c>
      <c r="L192" s="36" t="n">
        <f aca="false">IF(COUNTIFS('1 · BBDD Casos incluidos'!$A$2:$A$29,L$188,'1 · BBDD Casos incluidos'!$AB$2:$AB$29,"*;"&amp;$A192&amp;";*")&gt;0,1,0)</f>
        <v>0</v>
      </c>
      <c r="M192" s="36" t="n">
        <f aca="false">IF(COUNTIFS('1 · BBDD Casos incluidos'!$A$2:$A$29,M$188,'1 · BBDD Casos incluidos'!$AB$2:$AB$29,"*;"&amp;$A192&amp;";*")&gt;0,1,0)</f>
        <v>0</v>
      </c>
      <c r="N192" s="36" t="n">
        <f aca="false">IF(COUNTIFS('1 · BBDD Casos incluidos'!$A$2:$A$29,N$188,'1 · BBDD Casos incluidos'!$AB$2:$AB$29,"*;"&amp;$A192&amp;";*")&gt;0,1,0)</f>
        <v>0</v>
      </c>
      <c r="O192" s="36" t="n">
        <f aca="false">IF(COUNTIFS('1 · BBDD Casos incluidos'!$A$2:$A$29,O$188,'1 · BBDD Casos incluidos'!$AB$2:$AB$29,"*;"&amp;$A192&amp;";*")&gt;0,1,0)</f>
        <v>0</v>
      </c>
      <c r="P192" s="36" t="n">
        <f aca="false">IF(COUNTIFS('1 · BBDD Casos incluidos'!$A$2:$A$29,P$188,'1 · BBDD Casos incluidos'!$AB$2:$AB$29,"*;"&amp;$A192&amp;";*")&gt;0,1,0)</f>
        <v>0</v>
      </c>
      <c r="Q192" s="36" t="n">
        <f aca="false">IF(COUNTIFS('1 · BBDD Casos incluidos'!$A$2:$A$29,Q$188,'1 · BBDD Casos incluidos'!$AB$2:$AB$29,"*;"&amp;$A192&amp;";*")&gt;0,1,0)</f>
        <v>0</v>
      </c>
      <c r="R192" s="36" t="n">
        <f aca="false">IF(COUNTIFS('1 · BBDD Casos incluidos'!$A$2:$A$29,R$188,'1 · BBDD Casos incluidos'!$AB$2:$AB$29,"*;"&amp;$A192&amp;";*")&gt;0,1,0)</f>
        <v>0</v>
      </c>
      <c r="S192" s="36" t="n">
        <f aca="false">IF(COUNTIFS('1 · BBDD Casos incluidos'!$A$2:$A$29,S$188,'1 · BBDD Casos incluidos'!$AB$2:$AB$29,"*;"&amp;$A192&amp;";*")&gt;0,1,0)</f>
        <v>0</v>
      </c>
      <c r="T192" s="36" t="n">
        <f aca="false">IF(COUNTIFS('1 · BBDD Casos incluidos'!$A$2:$A$29,T$188,'1 · BBDD Casos incluidos'!$AB$2:$AB$29,"*;"&amp;$A192&amp;";*")&gt;0,1,0)</f>
        <v>0</v>
      </c>
      <c r="U192" s="36" t="n">
        <f aca="false">IF(COUNTIFS('1 · BBDD Casos incluidos'!$A$2:$A$29,U$188,'1 · BBDD Casos incluidos'!$AB$2:$AB$29,"*;"&amp;$A192&amp;";*")&gt;0,1,0)</f>
        <v>0</v>
      </c>
    </row>
    <row r="193" customFormat="false" ht="15" hidden="false" customHeight="false" outlineLevel="0" collapsed="false">
      <c r="A193" s="6" t="s">
        <v>370</v>
      </c>
      <c r="B193" s="36" t="n">
        <f aca="false">IF(COUNTIFS('1 · BBDD Casos incluidos'!$A$2:$A$29,B$188,'1 · BBDD Casos incluidos'!$AB$2:$AB$29,"*;"&amp;$A193&amp;";*")&gt;0,1,0)</f>
        <v>0</v>
      </c>
      <c r="C193" s="36" t="n">
        <f aca="false">IF(COUNTIFS('1 · BBDD Casos incluidos'!$A$2:$A$29,C$188,'1 · BBDD Casos incluidos'!$AB$2:$AB$29,"*;"&amp;$A193&amp;";*")&gt;0,1,0)</f>
        <v>0</v>
      </c>
      <c r="D193" s="36" t="n">
        <f aca="false">IF(COUNTIFS('1 · BBDD Casos incluidos'!$A$2:$A$29,D$188,'1 · BBDD Casos incluidos'!$AB$2:$AB$29,"*;"&amp;$A193&amp;";*")&gt;0,1,0)</f>
        <v>1</v>
      </c>
      <c r="E193" s="36" t="n">
        <f aca="false">IF(COUNTIFS('1 · BBDD Casos incluidos'!$A$2:$A$29,E$188,'1 · BBDD Casos incluidos'!$AB$2:$AB$29,"*;"&amp;$A193&amp;";*")&gt;0,1,0)</f>
        <v>0</v>
      </c>
      <c r="F193" s="36" t="n">
        <f aca="false">IF(COUNTIFS('1 · BBDD Casos incluidos'!$A$2:$A$29,F$188,'1 · BBDD Casos incluidos'!$AB$2:$AB$29,"*;"&amp;$A193&amp;";*")&gt;0,1,0)</f>
        <v>0</v>
      </c>
      <c r="G193" s="36" t="n">
        <f aca="false">IF(COUNTIFS('1 · BBDD Casos incluidos'!$A$2:$A$29,G$188,'1 · BBDD Casos incluidos'!$AB$2:$AB$29,"*;"&amp;$A193&amp;";*")&gt;0,1,0)</f>
        <v>0</v>
      </c>
      <c r="H193" s="36" t="n">
        <f aca="false">IF(COUNTIFS('1 · BBDD Casos incluidos'!$A$2:$A$29,H$188,'1 · BBDD Casos incluidos'!$AB$2:$AB$29,"*;"&amp;$A193&amp;";*")&gt;0,1,0)</f>
        <v>0</v>
      </c>
      <c r="I193" s="36" t="n">
        <f aca="false">IF(COUNTIFS('1 · BBDD Casos incluidos'!$A$2:$A$29,I$188,'1 · BBDD Casos incluidos'!$AB$2:$AB$29,"*;"&amp;$A193&amp;";*")&gt;0,1,0)</f>
        <v>0</v>
      </c>
      <c r="J193" s="36" t="n">
        <f aca="false">IF(COUNTIFS('1 · BBDD Casos incluidos'!$A$2:$A$29,J$188,'1 · BBDD Casos incluidos'!$AB$2:$AB$29,"*;"&amp;$A193&amp;";*")&gt;0,1,0)</f>
        <v>0</v>
      </c>
      <c r="K193" s="36" t="n">
        <f aca="false">IF(COUNTIFS('1 · BBDD Casos incluidos'!$A$2:$A$29,K$188,'1 · BBDD Casos incluidos'!$AB$2:$AB$29,"*;"&amp;$A193&amp;";*")&gt;0,1,0)</f>
        <v>0</v>
      </c>
      <c r="L193" s="36" t="n">
        <f aca="false">IF(COUNTIFS('1 · BBDD Casos incluidos'!$A$2:$A$29,L$188,'1 · BBDD Casos incluidos'!$AB$2:$AB$29,"*;"&amp;$A193&amp;";*")&gt;0,1,0)</f>
        <v>0</v>
      </c>
      <c r="M193" s="36" t="n">
        <f aca="false">IF(COUNTIFS('1 · BBDD Casos incluidos'!$A$2:$A$29,M$188,'1 · BBDD Casos incluidos'!$AB$2:$AB$29,"*;"&amp;$A193&amp;";*")&gt;0,1,0)</f>
        <v>0</v>
      </c>
      <c r="N193" s="36" t="n">
        <f aca="false">IF(COUNTIFS('1 · BBDD Casos incluidos'!$A$2:$A$29,N$188,'1 · BBDD Casos incluidos'!$AB$2:$AB$29,"*;"&amp;$A193&amp;";*")&gt;0,1,0)</f>
        <v>0</v>
      </c>
      <c r="O193" s="36" t="n">
        <f aca="false">IF(COUNTIFS('1 · BBDD Casos incluidos'!$A$2:$A$29,O$188,'1 · BBDD Casos incluidos'!$AB$2:$AB$29,"*;"&amp;$A193&amp;";*")&gt;0,1,0)</f>
        <v>0</v>
      </c>
      <c r="P193" s="36" t="n">
        <f aca="false">IF(COUNTIFS('1 · BBDD Casos incluidos'!$A$2:$A$29,P$188,'1 · BBDD Casos incluidos'!$AB$2:$AB$29,"*;"&amp;$A193&amp;";*")&gt;0,1,0)</f>
        <v>0</v>
      </c>
      <c r="Q193" s="36" t="n">
        <f aca="false">IF(COUNTIFS('1 · BBDD Casos incluidos'!$A$2:$A$29,Q$188,'1 · BBDD Casos incluidos'!$AB$2:$AB$29,"*;"&amp;$A193&amp;";*")&gt;0,1,0)</f>
        <v>0</v>
      </c>
      <c r="R193" s="36" t="n">
        <f aca="false">IF(COUNTIFS('1 · BBDD Casos incluidos'!$A$2:$A$29,R$188,'1 · BBDD Casos incluidos'!$AB$2:$AB$29,"*;"&amp;$A193&amp;";*")&gt;0,1,0)</f>
        <v>0</v>
      </c>
      <c r="S193" s="36" t="n">
        <f aca="false">IF(COUNTIFS('1 · BBDD Casos incluidos'!$A$2:$A$29,S$188,'1 · BBDD Casos incluidos'!$AB$2:$AB$29,"*;"&amp;$A193&amp;";*")&gt;0,1,0)</f>
        <v>0</v>
      </c>
      <c r="T193" s="36" t="n">
        <f aca="false">IF(COUNTIFS('1 · BBDD Casos incluidos'!$A$2:$A$29,T$188,'1 · BBDD Casos incluidos'!$AB$2:$AB$29,"*;"&amp;$A193&amp;";*")&gt;0,1,0)</f>
        <v>0</v>
      </c>
      <c r="U193" s="36" t="n">
        <f aca="false">IF(COUNTIFS('1 · BBDD Casos incluidos'!$A$2:$A$29,U$188,'1 · BBDD Casos incluidos'!$AB$2:$AB$29,"*;"&amp;$A193&amp;";*")&gt;0,1,0)</f>
        <v>0</v>
      </c>
    </row>
    <row r="194" customFormat="false" ht="15" hidden="false" customHeight="false" outlineLevel="0" collapsed="false">
      <c r="A194" s="6" t="s">
        <v>371</v>
      </c>
      <c r="B194" s="36" t="n">
        <f aca="false">IF(COUNTIFS('1 · BBDD Casos incluidos'!$A$2:$A$29,B$188,'1 · BBDD Casos incluidos'!$AB$2:$AB$29,"*;"&amp;$A194&amp;";*")&gt;0,1,0)</f>
        <v>0</v>
      </c>
      <c r="C194" s="36" t="n">
        <f aca="false">IF(COUNTIFS('1 · BBDD Casos incluidos'!$A$2:$A$29,C$188,'1 · BBDD Casos incluidos'!$AB$2:$AB$29,"*;"&amp;$A194&amp;";*")&gt;0,1,0)</f>
        <v>0</v>
      </c>
      <c r="D194" s="36" t="n">
        <f aca="false">IF(COUNTIFS('1 · BBDD Casos incluidos'!$A$2:$A$29,D$188,'1 · BBDD Casos incluidos'!$AB$2:$AB$29,"*;"&amp;$A194&amp;";*")&gt;0,1,0)</f>
        <v>1</v>
      </c>
      <c r="E194" s="36" t="n">
        <f aca="false">IF(COUNTIFS('1 · BBDD Casos incluidos'!$A$2:$A$29,E$188,'1 · BBDD Casos incluidos'!$AB$2:$AB$29,"*;"&amp;$A194&amp;";*")&gt;0,1,0)</f>
        <v>1</v>
      </c>
      <c r="F194" s="36" t="n">
        <f aca="false">IF(COUNTIFS('1 · BBDD Casos incluidos'!$A$2:$A$29,F$188,'1 · BBDD Casos incluidos'!$AB$2:$AB$29,"*;"&amp;$A194&amp;";*")&gt;0,1,0)</f>
        <v>0</v>
      </c>
      <c r="G194" s="36" t="n">
        <f aca="false">IF(COUNTIFS('1 · BBDD Casos incluidos'!$A$2:$A$29,G$188,'1 · BBDD Casos incluidos'!$AB$2:$AB$29,"*;"&amp;$A194&amp;";*")&gt;0,1,0)</f>
        <v>0</v>
      </c>
      <c r="H194" s="36" t="n">
        <f aca="false">IF(COUNTIFS('1 · BBDD Casos incluidos'!$A$2:$A$29,H$188,'1 · BBDD Casos incluidos'!$AB$2:$AB$29,"*;"&amp;$A194&amp;";*")&gt;0,1,0)</f>
        <v>0</v>
      </c>
      <c r="I194" s="36" t="n">
        <f aca="false">IF(COUNTIFS('1 · BBDD Casos incluidos'!$A$2:$A$29,I$188,'1 · BBDD Casos incluidos'!$AB$2:$AB$29,"*;"&amp;$A194&amp;";*")&gt;0,1,0)</f>
        <v>0</v>
      </c>
      <c r="J194" s="36" t="n">
        <f aca="false">IF(COUNTIFS('1 · BBDD Casos incluidos'!$A$2:$A$29,J$188,'1 · BBDD Casos incluidos'!$AB$2:$AB$29,"*;"&amp;$A194&amp;";*")&gt;0,1,0)</f>
        <v>0</v>
      </c>
      <c r="K194" s="36" t="n">
        <f aca="false">IF(COUNTIFS('1 · BBDD Casos incluidos'!$A$2:$A$29,K$188,'1 · BBDD Casos incluidos'!$AB$2:$AB$29,"*;"&amp;$A194&amp;";*")&gt;0,1,0)</f>
        <v>0</v>
      </c>
      <c r="L194" s="36" t="n">
        <f aca="false">IF(COUNTIFS('1 · BBDD Casos incluidos'!$A$2:$A$29,L$188,'1 · BBDD Casos incluidos'!$AB$2:$AB$29,"*;"&amp;$A194&amp;";*")&gt;0,1,0)</f>
        <v>0</v>
      </c>
      <c r="M194" s="36" t="n">
        <f aca="false">IF(COUNTIFS('1 · BBDD Casos incluidos'!$A$2:$A$29,M$188,'1 · BBDD Casos incluidos'!$AB$2:$AB$29,"*;"&amp;$A194&amp;";*")&gt;0,1,0)</f>
        <v>0</v>
      </c>
      <c r="N194" s="36" t="n">
        <f aca="false">IF(COUNTIFS('1 · BBDD Casos incluidos'!$A$2:$A$29,N$188,'1 · BBDD Casos incluidos'!$AB$2:$AB$29,"*;"&amp;$A194&amp;";*")&gt;0,1,0)</f>
        <v>0</v>
      </c>
      <c r="O194" s="36" t="n">
        <f aca="false">IF(COUNTIFS('1 · BBDD Casos incluidos'!$A$2:$A$29,O$188,'1 · BBDD Casos incluidos'!$AB$2:$AB$29,"*;"&amp;$A194&amp;";*")&gt;0,1,0)</f>
        <v>0</v>
      </c>
      <c r="P194" s="36" t="n">
        <f aca="false">IF(COUNTIFS('1 · BBDD Casos incluidos'!$A$2:$A$29,P$188,'1 · BBDD Casos incluidos'!$AB$2:$AB$29,"*;"&amp;$A194&amp;";*")&gt;0,1,0)</f>
        <v>0</v>
      </c>
      <c r="Q194" s="36" t="n">
        <f aca="false">IF(COUNTIFS('1 · BBDD Casos incluidos'!$A$2:$A$29,Q$188,'1 · BBDD Casos incluidos'!$AB$2:$AB$29,"*;"&amp;$A194&amp;";*")&gt;0,1,0)</f>
        <v>0</v>
      </c>
      <c r="R194" s="36" t="n">
        <f aca="false">IF(COUNTIFS('1 · BBDD Casos incluidos'!$A$2:$A$29,R$188,'1 · BBDD Casos incluidos'!$AB$2:$AB$29,"*;"&amp;$A194&amp;";*")&gt;0,1,0)</f>
        <v>0</v>
      </c>
      <c r="S194" s="36" t="n">
        <f aca="false">IF(COUNTIFS('1 · BBDD Casos incluidos'!$A$2:$A$29,S$188,'1 · BBDD Casos incluidos'!$AB$2:$AB$29,"*;"&amp;$A194&amp;";*")&gt;0,1,0)</f>
        <v>0</v>
      </c>
      <c r="T194" s="36" t="n">
        <f aca="false">IF(COUNTIFS('1 · BBDD Casos incluidos'!$A$2:$A$29,T$188,'1 · BBDD Casos incluidos'!$AB$2:$AB$29,"*;"&amp;$A194&amp;";*")&gt;0,1,0)</f>
        <v>0</v>
      </c>
      <c r="U194" s="36" t="n">
        <f aca="false">IF(COUNTIFS('1 · BBDD Casos incluidos'!$A$2:$A$29,U$188,'1 · BBDD Casos incluidos'!$AB$2:$AB$29,"*;"&amp;$A194&amp;";*")&gt;0,1,0)</f>
        <v>0</v>
      </c>
    </row>
    <row r="195" customFormat="false" ht="15" hidden="false" customHeight="false" outlineLevel="0" collapsed="false">
      <c r="A195" s="6" t="s">
        <v>372</v>
      </c>
      <c r="B195" s="36" t="n">
        <f aca="false">IF(COUNTIFS('1 · BBDD Casos incluidos'!$A$2:$A$29,B$188,'1 · BBDD Casos incluidos'!$AB$2:$AB$29,"*;"&amp;$A195&amp;";*")&gt;0,1,0)</f>
        <v>0</v>
      </c>
      <c r="C195" s="36" t="n">
        <f aca="false">IF(COUNTIFS('1 · BBDD Casos incluidos'!$A$2:$A$29,C$188,'1 · BBDD Casos incluidos'!$AB$2:$AB$29,"*;"&amp;$A195&amp;";*")&gt;0,1,0)</f>
        <v>0</v>
      </c>
      <c r="D195" s="36" t="n">
        <f aca="false">IF(COUNTIFS('1 · BBDD Casos incluidos'!$A$2:$A$29,D$188,'1 · BBDD Casos incluidos'!$AB$2:$AB$29,"*;"&amp;$A195&amp;";*")&gt;0,1,0)</f>
        <v>1</v>
      </c>
      <c r="E195" s="36" t="n">
        <f aca="false">IF(COUNTIFS('1 · BBDD Casos incluidos'!$A$2:$A$29,E$188,'1 · BBDD Casos incluidos'!$AB$2:$AB$29,"*;"&amp;$A195&amp;";*")&gt;0,1,0)</f>
        <v>0</v>
      </c>
      <c r="F195" s="36" t="n">
        <f aca="false">IF(COUNTIFS('1 · BBDD Casos incluidos'!$A$2:$A$29,F$188,'1 · BBDD Casos incluidos'!$AB$2:$AB$29,"*;"&amp;$A195&amp;";*")&gt;0,1,0)</f>
        <v>0</v>
      </c>
      <c r="G195" s="36" t="n">
        <f aca="false">IF(COUNTIFS('1 · BBDD Casos incluidos'!$A$2:$A$29,G$188,'1 · BBDD Casos incluidos'!$AB$2:$AB$29,"*;"&amp;$A195&amp;";*")&gt;0,1,0)</f>
        <v>0</v>
      </c>
      <c r="H195" s="36" t="n">
        <f aca="false">IF(COUNTIFS('1 · BBDD Casos incluidos'!$A$2:$A$29,H$188,'1 · BBDD Casos incluidos'!$AB$2:$AB$29,"*;"&amp;$A195&amp;";*")&gt;0,1,0)</f>
        <v>0</v>
      </c>
      <c r="I195" s="36" t="n">
        <f aca="false">IF(COUNTIFS('1 · BBDD Casos incluidos'!$A$2:$A$29,I$188,'1 · BBDD Casos incluidos'!$AB$2:$AB$29,"*;"&amp;$A195&amp;";*")&gt;0,1,0)</f>
        <v>0</v>
      </c>
      <c r="J195" s="36" t="n">
        <f aca="false">IF(COUNTIFS('1 · BBDD Casos incluidos'!$A$2:$A$29,J$188,'1 · BBDD Casos incluidos'!$AB$2:$AB$29,"*;"&amp;$A195&amp;";*")&gt;0,1,0)</f>
        <v>0</v>
      </c>
      <c r="K195" s="36" t="n">
        <f aca="false">IF(COUNTIFS('1 · BBDD Casos incluidos'!$A$2:$A$29,K$188,'1 · BBDD Casos incluidos'!$AB$2:$AB$29,"*;"&amp;$A195&amp;";*")&gt;0,1,0)</f>
        <v>0</v>
      </c>
      <c r="L195" s="36" t="n">
        <f aca="false">IF(COUNTIFS('1 · BBDD Casos incluidos'!$A$2:$A$29,L$188,'1 · BBDD Casos incluidos'!$AB$2:$AB$29,"*;"&amp;$A195&amp;";*")&gt;0,1,0)</f>
        <v>0</v>
      </c>
      <c r="M195" s="36" t="n">
        <f aca="false">IF(COUNTIFS('1 · BBDD Casos incluidos'!$A$2:$A$29,M$188,'1 · BBDD Casos incluidos'!$AB$2:$AB$29,"*;"&amp;$A195&amp;";*")&gt;0,1,0)</f>
        <v>0</v>
      </c>
      <c r="N195" s="36" t="n">
        <f aca="false">IF(COUNTIFS('1 · BBDD Casos incluidos'!$A$2:$A$29,N$188,'1 · BBDD Casos incluidos'!$AB$2:$AB$29,"*;"&amp;$A195&amp;";*")&gt;0,1,0)</f>
        <v>0</v>
      </c>
      <c r="O195" s="36" t="n">
        <f aca="false">IF(COUNTIFS('1 · BBDD Casos incluidos'!$A$2:$A$29,O$188,'1 · BBDD Casos incluidos'!$AB$2:$AB$29,"*;"&amp;$A195&amp;";*")&gt;0,1,0)</f>
        <v>0</v>
      </c>
      <c r="P195" s="36" t="n">
        <f aca="false">IF(COUNTIFS('1 · BBDD Casos incluidos'!$A$2:$A$29,P$188,'1 · BBDD Casos incluidos'!$AB$2:$AB$29,"*;"&amp;$A195&amp;";*")&gt;0,1,0)</f>
        <v>0</v>
      </c>
      <c r="Q195" s="36" t="n">
        <f aca="false">IF(COUNTIFS('1 · BBDD Casos incluidos'!$A$2:$A$29,Q$188,'1 · BBDD Casos incluidos'!$AB$2:$AB$29,"*;"&amp;$A195&amp;";*")&gt;0,1,0)</f>
        <v>0</v>
      </c>
      <c r="R195" s="36" t="n">
        <f aca="false">IF(COUNTIFS('1 · BBDD Casos incluidos'!$A$2:$A$29,R$188,'1 · BBDD Casos incluidos'!$AB$2:$AB$29,"*;"&amp;$A195&amp;";*")&gt;0,1,0)</f>
        <v>0</v>
      </c>
      <c r="S195" s="36" t="n">
        <f aca="false">IF(COUNTIFS('1 · BBDD Casos incluidos'!$A$2:$A$29,S$188,'1 · BBDD Casos incluidos'!$AB$2:$AB$29,"*;"&amp;$A195&amp;";*")&gt;0,1,0)</f>
        <v>0</v>
      </c>
      <c r="T195" s="36" t="n">
        <f aca="false">IF(COUNTIFS('1 · BBDD Casos incluidos'!$A$2:$A$29,T$188,'1 · BBDD Casos incluidos'!$AB$2:$AB$29,"*;"&amp;$A195&amp;";*")&gt;0,1,0)</f>
        <v>0</v>
      </c>
      <c r="U195" s="36" t="n">
        <f aca="false">IF(COUNTIFS('1 · BBDD Casos incluidos'!$A$2:$A$29,U$188,'1 · BBDD Casos incluidos'!$AB$2:$AB$29,"*;"&amp;$A195&amp;";*")&gt;0,1,0)</f>
        <v>0</v>
      </c>
    </row>
    <row r="196" customFormat="false" ht="15" hidden="false" customHeight="false" outlineLevel="0" collapsed="false">
      <c r="A196" s="6" t="s">
        <v>373</v>
      </c>
      <c r="B196" s="36" t="n">
        <f aca="false">IF(COUNTIFS('1 · BBDD Casos incluidos'!$A$2:$A$29,B$188,'1 · BBDD Casos incluidos'!$AB$2:$AB$29,"*;"&amp;$A196&amp;";*")&gt;0,1,0)</f>
        <v>0</v>
      </c>
      <c r="C196" s="36" t="n">
        <f aca="false">IF(COUNTIFS('1 · BBDD Casos incluidos'!$A$2:$A$29,C$188,'1 · BBDD Casos incluidos'!$AB$2:$AB$29,"*;"&amp;$A196&amp;";*")&gt;0,1,0)</f>
        <v>0</v>
      </c>
      <c r="D196" s="36" t="n">
        <f aca="false">IF(COUNTIFS('1 · BBDD Casos incluidos'!$A$2:$A$29,D$188,'1 · BBDD Casos incluidos'!$AB$2:$AB$29,"*;"&amp;$A196&amp;";*")&gt;0,1,0)</f>
        <v>1</v>
      </c>
      <c r="E196" s="36" t="n">
        <f aca="false">IF(COUNTIFS('1 · BBDD Casos incluidos'!$A$2:$A$29,E$188,'1 · BBDD Casos incluidos'!$AB$2:$AB$29,"*;"&amp;$A196&amp;";*")&gt;0,1,0)</f>
        <v>0</v>
      </c>
      <c r="F196" s="36" t="n">
        <f aca="false">IF(COUNTIFS('1 · BBDD Casos incluidos'!$A$2:$A$29,F$188,'1 · BBDD Casos incluidos'!$AB$2:$AB$29,"*;"&amp;$A196&amp;";*")&gt;0,1,0)</f>
        <v>1</v>
      </c>
      <c r="G196" s="36" t="n">
        <f aca="false">IF(COUNTIFS('1 · BBDD Casos incluidos'!$A$2:$A$29,G$188,'1 · BBDD Casos incluidos'!$AB$2:$AB$29,"*;"&amp;$A196&amp;";*")&gt;0,1,0)</f>
        <v>0</v>
      </c>
      <c r="H196" s="36" t="n">
        <f aca="false">IF(COUNTIFS('1 · BBDD Casos incluidos'!$A$2:$A$29,H$188,'1 · BBDD Casos incluidos'!$AB$2:$AB$29,"*;"&amp;$A196&amp;";*")&gt;0,1,0)</f>
        <v>0</v>
      </c>
      <c r="I196" s="36" t="n">
        <f aca="false">IF(COUNTIFS('1 · BBDD Casos incluidos'!$A$2:$A$29,I$188,'1 · BBDD Casos incluidos'!$AB$2:$AB$29,"*;"&amp;$A196&amp;";*")&gt;0,1,0)</f>
        <v>0</v>
      </c>
      <c r="J196" s="36" t="n">
        <f aca="false">IF(COUNTIFS('1 · BBDD Casos incluidos'!$A$2:$A$29,J$188,'1 · BBDD Casos incluidos'!$AB$2:$AB$29,"*;"&amp;$A196&amp;";*")&gt;0,1,0)</f>
        <v>1</v>
      </c>
      <c r="K196" s="36" t="n">
        <f aca="false">IF(COUNTIFS('1 · BBDD Casos incluidos'!$A$2:$A$29,K$188,'1 · BBDD Casos incluidos'!$AB$2:$AB$29,"*;"&amp;$A196&amp;";*")&gt;0,1,0)</f>
        <v>0</v>
      </c>
      <c r="L196" s="36" t="n">
        <f aca="false">IF(COUNTIFS('1 · BBDD Casos incluidos'!$A$2:$A$29,L$188,'1 · BBDD Casos incluidos'!$AB$2:$AB$29,"*;"&amp;$A196&amp;";*")&gt;0,1,0)</f>
        <v>0</v>
      </c>
      <c r="M196" s="36" t="n">
        <f aca="false">IF(COUNTIFS('1 · BBDD Casos incluidos'!$A$2:$A$29,M$188,'1 · BBDD Casos incluidos'!$AB$2:$AB$29,"*;"&amp;$A196&amp;";*")&gt;0,1,0)</f>
        <v>0</v>
      </c>
      <c r="N196" s="36" t="n">
        <f aca="false">IF(COUNTIFS('1 · BBDD Casos incluidos'!$A$2:$A$29,N$188,'1 · BBDD Casos incluidos'!$AB$2:$AB$29,"*;"&amp;$A196&amp;";*")&gt;0,1,0)</f>
        <v>0</v>
      </c>
      <c r="O196" s="36" t="n">
        <f aca="false">IF(COUNTIFS('1 · BBDD Casos incluidos'!$A$2:$A$29,O$188,'1 · BBDD Casos incluidos'!$AB$2:$AB$29,"*;"&amp;$A196&amp;";*")&gt;0,1,0)</f>
        <v>0</v>
      </c>
      <c r="P196" s="36" t="n">
        <f aca="false">IF(COUNTIFS('1 · BBDD Casos incluidos'!$A$2:$A$29,P$188,'1 · BBDD Casos incluidos'!$AB$2:$AB$29,"*;"&amp;$A196&amp;";*")&gt;0,1,0)</f>
        <v>0</v>
      </c>
      <c r="Q196" s="36" t="n">
        <f aca="false">IF(COUNTIFS('1 · BBDD Casos incluidos'!$A$2:$A$29,Q$188,'1 · BBDD Casos incluidos'!$AB$2:$AB$29,"*;"&amp;$A196&amp;";*")&gt;0,1,0)</f>
        <v>0</v>
      </c>
      <c r="R196" s="36" t="n">
        <f aca="false">IF(COUNTIFS('1 · BBDD Casos incluidos'!$A$2:$A$29,R$188,'1 · BBDD Casos incluidos'!$AB$2:$AB$29,"*;"&amp;$A196&amp;";*")&gt;0,1,0)</f>
        <v>0</v>
      </c>
      <c r="S196" s="36" t="n">
        <f aca="false">IF(COUNTIFS('1 · BBDD Casos incluidos'!$A$2:$A$29,S$188,'1 · BBDD Casos incluidos'!$AB$2:$AB$29,"*;"&amp;$A196&amp;";*")&gt;0,1,0)</f>
        <v>0</v>
      </c>
      <c r="T196" s="36" t="n">
        <f aca="false">IF(COUNTIFS('1 · BBDD Casos incluidos'!$A$2:$A$29,T$188,'1 · BBDD Casos incluidos'!$AB$2:$AB$29,"*;"&amp;$A196&amp;";*")&gt;0,1,0)</f>
        <v>0</v>
      </c>
      <c r="U196" s="36" t="n">
        <f aca="false">IF(COUNTIFS('1 · BBDD Casos incluidos'!$A$2:$A$29,U$188,'1 · BBDD Casos incluidos'!$AB$2:$AB$29,"*;"&amp;$A196&amp;";*")&gt;0,1,0)</f>
        <v>0</v>
      </c>
    </row>
    <row r="197" customFormat="false" ht="15" hidden="false" customHeight="false" outlineLevel="0" collapsed="false">
      <c r="A197" s="6" t="s">
        <v>374</v>
      </c>
      <c r="B197" s="36" t="n">
        <f aca="false">IF(COUNTIFS('1 · BBDD Casos incluidos'!$A$2:$A$29,B$188,'1 · BBDD Casos incluidos'!$AB$2:$AB$29,"*;"&amp;$A197&amp;";*")&gt;0,1,0)</f>
        <v>0</v>
      </c>
      <c r="C197" s="36" t="n">
        <f aca="false">IF(COUNTIFS('1 · BBDD Casos incluidos'!$A$2:$A$29,C$188,'1 · BBDD Casos incluidos'!$AB$2:$AB$29,"*;"&amp;$A197&amp;";*")&gt;0,1,0)</f>
        <v>0</v>
      </c>
      <c r="D197" s="36" t="n">
        <f aca="false">IF(COUNTIFS('1 · BBDD Casos incluidos'!$A$2:$A$29,D$188,'1 · BBDD Casos incluidos'!$AB$2:$AB$29,"*;"&amp;$A197&amp;";*")&gt;0,1,0)</f>
        <v>1</v>
      </c>
      <c r="E197" s="36" t="n">
        <f aca="false">IF(COUNTIFS('1 · BBDD Casos incluidos'!$A$2:$A$29,E$188,'1 · BBDD Casos incluidos'!$AB$2:$AB$29,"*;"&amp;$A197&amp;";*")&gt;0,1,0)</f>
        <v>1</v>
      </c>
      <c r="F197" s="36" t="n">
        <f aca="false">IF(COUNTIFS('1 · BBDD Casos incluidos'!$A$2:$A$29,F$188,'1 · BBDD Casos incluidos'!$AB$2:$AB$29,"*;"&amp;$A197&amp;";*")&gt;0,1,0)</f>
        <v>0</v>
      </c>
      <c r="G197" s="36" t="n">
        <f aca="false">IF(COUNTIFS('1 · BBDD Casos incluidos'!$A$2:$A$29,G$188,'1 · BBDD Casos incluidos'!$AB$2:$AB$29,"*;"&amp;$A197&amp;";*")&gt;0,1,0)</f>
        <v>0</v>
      </c>
      <c r="H197" s="36" t="n">
        <f aca="false">IF(COUNTIFS('1 · BBDD Casos incluidos'!$A$2:$A$29,H$188,'1 · BBDD Casos incluidos'!$AB$2:$AB$29,"*;"&amp;$A197&amp;";*")&gt;0,1,0)</f>
        <v>0</v>
      </c>
      <c r="I197" s="36" t="n">
        <f aca="false">IF(COUNTIFS('1 · BBDD Casos incluidos'!$A$2:$A$29,I$188,'1 · BBDD Casos incluidos'!$AB$2:$AB$29,"*;"&amp;$A197&amp;";*")&gt;0,1,0)</f>
        <v>0</v>
      </c>
      <c r="J197" s="36" t="n">
        <f aca="false">IF(COUNTIFS('1 · BBDD Casos incluidos'!$A$2:$A$29,J$188,'1 · BBDD Casos incluidos'!$AB$2:$AB$29,"*;"&amp;$A197&amp;";*")&gt;0,1,0)</f>
        <v>0</v>
      </c>
      <c r="K197" s="36" t="n">
        <f aca="false">IF(COUNTIFS('1 · BBDD Casos incluidos'!$A$2:$A$29,K$188,'1 · BBDD Casos incluidos'!$AB$2:$AB$29,"*;"&amp;$A197&amp;";*")&gt;0,1,0)</f>
        <v>0</v>
      </c>
      <c r="L197" s="36" t="n">
        <f aca="false">IF(COUNTIFS('1 · BBDD Casos incluidos'!$A$2:$A$29,L$188,'1 · BBDD Casos incluidos'!$AB$2:$AB$29,"*;"&amp;$A197&amp;";*")&gt;0,1,0)</f>
        <v>0</v>
      </c>
      <c r="M197" s="36" t="n">
        <f aca="false">IF(COUNTIFS('1 · BBDD Casos incluidos'!$A$2:$A$29,M$188,'1 · BBDD Casos incluidos'!$AB$2:$AB$29,"*;"&amp;$A197&amp;";*")&gt;0,1,0)</f>
        <v>0</v>
      </c>
      <c r="N197" s="36" t="n">
        <f aca="false">IF(COUNTIFS('1 · BBDD Casos incluidos'!$A$2:$A$29,N$188,'1 · BBDD Casos incluidos'!$AB$2:$AB$29,"*;"&amp;$A197&amp;";*")&gt;0,1,0)</f>
        <v>0</v>
      </c>
      <c r="O197" s="36" t="n">
        <f aca="false">IF(COUNTIFS('1 · BBDD Casos incluidos'!$A$2:$A$29,O$188,'1 · BBDD Casos incluidos'!$AB$2:$AB$29,"*;"&amp;$A197&amp;";*")&gt;0,1,0)</f>
        <v>0</v>
      </c>
      <c r="P197" s="36" t="n">
        <f aca="false">IF(COUNTIFS('1 · BBDD Casos incluidos'!$A$2:$A$29,P$188,'1 · BBDD Casos incluidos'!$AB$2:$AB$29,"*;"&amp;$A197&amp;";*")&gt;0,1,0)</f>
        <v>0</v>
      </c>
      <c r="Q197" s="36" t="n">
        <f aca="false">IF(COUNTIFS('1 · BBDD Casos incluidos'!$A$2:$A$29,Q$188,'1 · BBDD Casos incluidos'!$AB$2:$AB$29,"*;"&amp;$A197&amp;";*")&gt;0,1,0)</f>
        <v>0</v>
      </c>
      <c r="R197" s="36" t="n">
        <f aca="false">IF(COUNTIFS('1 · BBDD Casos incluidos'!$A$2:$A$29,R$188,'1 · BBDD Casos incluidos'!$AB$2:$AB$29,"*;"&amp;$A197&amp;";*")&gt;0,1,0)</f>
        <v>0</v>
      </c>
      <c r="S197" s="36" t="n">
        <f aca="false">IF(COUNTIFS('1 · BBDD Casos incluidos'!$A$2:$A$29,S$188,'1 · BBDD Casos incluidos'!$AB$2:$AB$29,"*;"&amp;$A197&amp;";*")&gt;0,1,0)</f>
        <v>0</v>
      </c>
      <c r="T197" s="36" t="n">
        <f aca="false">IF(COUNTIFS('1 · BBDD Casos incluidos'!$A$2:$A$29,T$188,'1 · BBDD Casos incluidos'!$AB$2:$AB$29,"*;"&amp;$A197&amp;";*")&gt;0,1,0)</f>
        <v>0</v>
      </c>
      <c r="U197" s="36" t="n">
        <f aca="false">IF(COUNTIFS('1 · BBDD Casos incluidos'!$A$2:$A$29,U$188,'1 · BBDD Casos incluidos'!$AB$2:$AB$29,"*;"&amp;$A197&amp;";*")&gt;0,1,0)</f>
        <v>0</v>
      </c>
    </row>
    <row r="198" customFormat="false" ht="15" hidden="false" customHeight="false" outlineLevel="0" collapsed="false">
      <c r="A198" s="6" t="s">
        <v>375</v>
      </c>
      <c r="B198" s="36" t="n">
        <f aca="false">IF(COUNTIFS('1 · BBDD Casos incluidos'!$A$2:$A$29,B$188,'1 · BBDD Casos incluidos'!$AB$2:$AB$29,"*;"&amp;$A198&amp;";*")&gt;0,1,0)</f>
        <v>0</v>
      </c>
      <c r="C198" s="36" t="n">
        <f aca="false">IF(COUNTIFS('1 · BBDD Casos incluidos'!$A$2:$A$29,C$188,'1 · BBDD Casos incluidos'!$AB$2:$AB$29,"*;"&amp;$A198&amp;";*")&gt;0,1,0)</f>
        <v>0</v>
      </c>
      <c r="D198" s="36" t="n">
        <f aca="false">IF(COUNTIFS('1 · BBDD Casos incluidos'!$A$2:$A$29,D$188,'1 · BBDD Casos incluidos'!$AB$2:$AB$29,"*;"&amp;$A198&amp;";*")&gt;0,1,0)</f>
        <v>1</v>
      </c>
      <c r="E198" s="36" t="n">
        <f aca="false">IF(COUNTIFS('1 · BBDD Casos incluidos'!$A$2:$A$29,E$188,'1 · BBDD Casos incluidos'!$AB$2:$AB$29,"*;"&amp;$A198&amp;";*")&gt;0,1,0)</f>
        <v>1</v>
      </c>
      <c r="F198" s="36" t="n">
        <f aca="false">IF(COUNTIFS('1 · BBDD Casos incluidos'!$A$2:$A$29,F$188,'1 · BBDD Casos incluidos'!$AB$2:$AB$29,"*;"&amp;$A198&amp;";*")&gt;0,1,0)</f>
        <v>0</v>
      </c>
      <c r="G198" s="36" t="n">
        <f aca="false">IF(COUNTIFS('1 · BBDD Casos incluidos'!$A$2:$A$29,G$188,'1 · BBDD Casos incluidos'!$AB$2:$AB$29,"*;"&amp;$A198&amp;";*")&gt;0,1,0)</f>
        <v>0</v>
      </c>
      <c r="H198" s="36" t="n">
        <f aca="false">IF(COUNTIFS('1 · BBDD Casos incluidos'!$A$2:$A$29,H$188,'1 · BBDD Casos incluidos'!$AB$2:$AB$29,"*;"&amp;$A198&amp;";*")&gt;0,1,0)</f>
        <v>0</v>
      </c>
      <c r="I198" s="36" t="n">
        <f aca="false">IF(COUNTIFS('1 · BBDD Casos incluidos'!$A$2:$A$29,I$188,'1 · BBDD Casos incluidos'!$AB$2:$AB$29,"*;"&amp;$A198&amp;";*")&gt;0,1,0)</f>
        <v>0</v>
      </c>
      <c r="J198" s="36" t="n">
        <f aca="false">IF(COUNTIFS('1 · BBDD Casos incluidos'!$A$2:$A$29,J$188,'1 · BBDD Casos incluidos'!$AB$2:$AB$29,"*;"&amp;$A198&amp;";*")&gt;0,1,0)</f>
        <v>0</v>
      </c>
      <c r="K198" s="36" t="n">
        <f aca="false">IF(COUNTIFS('1 · BBDD Casos incluidos'!$A$2:$A$29,K$188,'1 · BBDD Casos incluidos'!$AB$2:$AB$29,"*;"&amp;$A198&amp;";*")&gt;0,1,0)</f>
        <v>0</v>
      </c>
      <c r="L198" s="36" t="n">
        <f aca="false">IF(COUNTIFS('1 · BBDD Casos incluidos'!$A$2:$A$29,L$188,'1 · BBDD Casos incluidos'!$AB$2:$AB$29,"*;"&amp;$A198&amp;";*")&gt;0,1,0)</f>
        <v>0</v>
      </c>
      <c r="M198" s="36" t="n">
        <f aca="false">IF(COUNTIFS('1 · BBDD Casos incluidos'!$A$2:$A$29,M$188,'1 · BBDD Casos incluidos'!$AB$2:$AB$29,"*;"&amp;$A198&amp;";*")&gt;0,1,0)</f>
        <v>0</v>
      </c>
      <c r="N198" s="36" t="n">
        <f aca="false">IF(COUNTIFS('1 · BBDD Casos incluidos'!$A$2:$A$29,N$188,'1 · BBDD Casos incluidos'!$AB$2:$AB$29,"*;"&amp;$A198&amp;";*")&gt;0,1,0)</f>
        <v>0</v>
      </c>
      <c r="O198" s="36" t="n">
        <f aca="false">IF(COUNTIFS('1 · BBDD Casos incluidos'!$A$2:$A$29,O$188,'1 · BBDD Casos incluidos'!$AB$2:$AB$29,"*;"&amp;$A198&amp;";*")&gt;0,1,0)</f>
        <v>0</v>
      </c>
      <c r="P198" s="36" t="n">
        <f aca="false">IF(COUNTIFS('1 · BBDD Casos incluidos'!$A$2:$A$29,P$188,'1 · BBDD Casos incluidos'!$AB$2:$AB$29,"*;"&amp;$A198&amp;";*")&gt;0,1,0)</f>
        <v>0</v>
      </c>
      <c r="Q198" s="36" t="n">
        <f aca="false">IF(COUNTIFS('1 · BBDD Casos incluidos'!$A$2:$A$29,Q$188,'1 · BBDD Casos incluidos'!$AB$2:$AB$29,"*;"&amp;$A198&amp;";*")&gt;0,1,0)</f>
        <v>0</v>
      </c>
      <c r="R198" s="36" t="n">
        <f aca="false">IF(COUNTIFS('1 · BBDD Casos incluidos'!$A$2:$A$29,R$188,'1 · BBDD Casos incluidos'!$AB$2:$AB$29,"*;"&amp;$A198&amp;";*")&gt;0,1,0)</f>
        <v>0</v>
      </c>
      <c r="S198" s="36" t="n">
        <f aca="false">IF(COUNTIFS('1 · BBDD Casos incluidos'!$A$2:$A$29,S$188,'1 · BBDD Casos incluidos'!$AB$2:$AB$29,"*;"&amp;$A198&amp;";*")&gt;0,1,0)</f>
        <v>0</v>
      </c>
      <c r="T198" s="36" t="n">
        <f aca="false">IF(COUNTIFS('1 · BBDD Casos incluidos'!$A$2:$A$29,T$188,'1 · BBDD Casos incluidos'!$AB$2:$AB$29,"*;"&amp;$A198&amp;";*")&gt;0,1,0)</f>
        <v>0</v>
      </c>
      <c r="U198" s="36" t="n">
        <f aca="false">IF(COUNTIFS('1 · BBDD Casos incluidos'!$A$2:$A$29,U$188,'1 · BBDD Casos incluidos'!$AB$2:$AB$29,"*;"&amp;$A198&amp;";*")&gt;0,1,0)</f>
        <v>0</v>
      </c>
    </row>
    <row r="199" customFormat="false" ht="15" hidden="false" customHeight="false" outlineLevel="0" collapsed="false">
      <c r="A199" s="6" t="s">
        <v>376</v>
      </c>
      <c r="B199" s="36" t="n">
        <f aca="false">IF(COUNTIFS('1 · BBDD Casos incluidos'!$A$2:$A$29,B$188,'1 · BBDD Casos incluidos'!$AB$2:$AB$29,"*;"&amp;$A199&amp;";*")&gt;0,1,0)</f>
        <v>0</v>
      </c>
      <c r="C199" s="36" t="n">
        <f aca="false">IF(COUNTIFS('1 · BBDD Casos incluidos'!$A$2:$A$29,C$188,'1 · BBDD Casos incluidos'!$AB$2:$AB$29,"*;"&amp;$A199&amp;";*")&gt;0,1,0)</f>
        <v>0</v>
      </c>
      <c r="D199" s="36" t="n">
        <f aca="false">IF(COUNTIFS('1 · BBDD Casos incluidos'!$A$2:$A$29,D$188,'1 · BBDD Casos incluidos'!$AB$2:$AB$29,"*;"&amp;$A199&amp;";*")&gt;0,1,0)</f>
        <v>1</v>
      </c>
      <c r="E199" s="36" t="n">
        <f aca="false">IF(COUNTIFS('1 · BBDD Casos incluidos'!$A$2:$A$29,E$188,'1 · BBDD Casos incluidos'!$AB$2:$AB$29,"*;"&amp;$A199&amp;";*")&gt;0,1,0)</f>
        <v>0</v>
      </c>
      <c r="F199" s="36" t="n">
        <f aca="false">IF(COUNTIFS('1 · BBDD Casos incluidos'!$A$2:$A$29,F$188,'1 · BBDD Casos incluidos'!$AB$2:$AB$29,"*;"&amp;$A199&amp;";*")&gt;0,1,0)</f>
        <v>0</v>
      </c>
      <c r="G199" s="36" t="n">
        <f aca="false">IF(COUNTIFS('1 · BBDD Casos incluidos'!$A$2:$A$29,G$188,'1 · BBDD Casos incluidos'!$AB$2:$AB$29,"*;"&amp;$A199&amp;";*")&gt;0,1,0)</f>
        <v>0</v>
      </c>
      <c r="H199" s="36" t="n">
        <f aca="false">IF(COUNTIFS('1 · BBDD Casos incluidos'!$A$2:$A$29,H$188,'1 · BBDD Casos incluidos'!$AB$2:$AB$29,"*;"&amp;$A199&amp;";*")&gt;0,1,0)</f>
        <v>0</v>
      </c>
      <c r="I199" s="36" t="n">
        <f aca="false">IF(COUNTIFS('1 · BBDD Casos incluidos'!$A$2:$A$29,I$188,'1 · BBDD Casos incluidos'!$AB$2:$AB$29,"*;"&amp;$A199&amp;";*")&gt;0,1,0)</f>
        <v>0</v>
      </c>
      <c r="J199" s="36" t="n">
        <f aca="false">IF(COUNTIFS('1 · BBDD Casos incluidos'!$A$2:$A$29,J$188,'1 · BBDD Casos incluidos'!$AB$2:$AB$29,"*;"&amp;$A199&amp;";*")&gt;0,1,0)</f>
        <v>0</v>
      </c>
      <c r="K199" s="36" t="n">
        <f aca="false">IF(COUNTIFS('1 · BBDD Casos incluidos'!$A$2:$A$29,K$188,'1 · BBDD Casos incluidos'!$AB$2:$AB$29,"*;"&amp;$A199&amp;";*")&gt;0,1,0)</f>
        <v>0</v>
      </c>
      <c r="L199" s="36" t="n">
        <f aca="false">IF(COUNTIFS('1 · BBDD Casos incluidos'!$A$2:$A$29,L$188,'1 · BBDD Casos incluidos'!$AB$2:$AB$29,"*;"&amp;$A199&amp;";*")&gt;0,1,0)</f>
        <v>0</v>
      </c>
      <c r="M199" s="36" t="n">
        <f aca="false">IF(COUNTIFS('1 · BBDD Casos incluidos'!$A$2:$A$29,M$188,'1 · BBDD Casos incluidos'!$AB$2:$AB$29,"*;"&amp;$A199&amp;";*")&gt;0,1,0)</f>
        <v>0</v>
      </c>
      <c r="N199" s="36" t="n">
        <f aca="false">IF(COUNTIFS('1 · BBDD Casos incluidos'!$A$2:$A$29,N$188,'1 · BBDD Casos incluidos'!$AB$2:$AB$29,"*;"&amp;$A199&amp;";*")&gt;0,1,0)</f>
        <v>0</v>
      </c>
      <c r="O199" s="36" t="n">
        <f aca="false">IF(COUNTIFS('1 · BBDD Casos incluidos'!$A$2:$A$29,O$188,'1 · BBDD Casos incluidos'!$AB$2:$AB$29,"*;"&amp;$A199&amp;";*")&gt;0,1,0)</f>
        <v>0</v>
      </c>
      <c r="P199" s="36" t="n">
        <f aca="false">IF(COUNTIFS('1 · BBDD Casos incluidos'!$A$2:$A$29,P$188,'1 · BBDD Casos incluidos'!$AB$2:$AB$29,"*;"&amp;$A199&amp;";*")&gt;0,1,0)</f>
        <v>0</v>
      </c>
      <c r="Q199" s="36" t="n">
        <f aca="false">IF(COUNTIFS('1 · BBDD Casos incluidos'!$A$2:$A$29,Q$188,'1 · BBDD Casos incluidos'!$AB$2:$AB$29,"*;"&amp;$A199&amp;";*")&gt;0,1,0)</f>
        <v>0</v>
      </c>
      <c r="R199" s="36" t="n">
        <f aca="false">IF(COUNTIFS('1 · BBDD Casos incluidos'!$A$2:$A$29,R$188,'1 · BBDD Casos incluidos'!$AB$2:$AB$29,"*;"&amp;$A199&amp;";*")&gt;0,1,0)</f>
        <v>0</v>
      </c>
      <c r="S199" s="36" t="n">
        <f aca="false">IF(COUNTIFS('1 · BBDD Casos incluidos'!$A$2:$A$29,S$188,'1 · BBDD Casos incluidos'!$AB$2:$AB$29,"*;"&amp;$A199&amp;";*")&gt;0,1,0)</f>
        <v>0</v>
      </c>
      <c r="T199" s="36" t="n">
        <f aca="false">IF(COUNTIFS('1 · BBDD Casos incluidos'!$A$2:$A$29,T$188,'1 · BBDD Casos incluidos'!$AB$2:$AB$29,"*;"&amp;$A199&amp;";*")&gt;0,1,0)</f>
        <v>0</v>
      </c>
      <c r="U199" s="36" t="n">
        <f aca="false">IF(COUNTIFS('1 · BBDD Casos incluidos'!$A$2:$A$29,U$188,'1 · BBDD Casos incluidos'!$AB$2:$AB$29,"*;"&amp;$A199&amp;";*")&gt;0,1,0)</f>
        <v>0</v>
      </c>
    </row>
    <row r="200" customFormat="false" ht="15" hidden="false" customHeight="false" outlineLevel="0" collapsed="false">
      <c r="A200" s="6" t="s">
        <v>377</v>
      </c>
      <c r="B200" s="36" t="n">
        <f aca="false">IF(COUNTIFS('1 · BBDD Casos incluidos'!$A$2:$A$29,B$188,'1 · BBDD Casos incluidos'!$AB$2:$AB$29,"*;"&amp;$A200&amp;";*")&gt;0,1,0)</f>
        <v>0</v>
      </c>
      <c r="C200" s="36" t="n">
        <f aca="false">IF(COUNTIFS('1 · BBDD Casos incluidos'!$A$2:$A$29,C$188,'1 · BBDD Casos incluidos'!$AB$2:$AB$29,"*;"&amp;$A200&amp;";*")&gt;0,1,0)</f>
        <v>0</v>
      </c>
      <c r="D200" s="36" t="n">
        <f aca="false">IF(COUNTIFS('1 · BBDD Casos incluidos'!$A$2:$A$29,D$188,'1 · BBDD Casos incluidos'!$AB$2:$AB$29,"*;"&amp;$A200&amp;";*")&gt;0,1,0)</f>
        <v>1</v>
      </c>
      <c r="E200" s="36" t="n">
        <f aca="false">IF(COUNTIFS('1 · BBDD Casos incluidos'!$A$2:$A$29,E$188,'1 · BBDD Casos incluidos'!$AB$2:$AB$29,"*;"&amp;$A200&amp;";*")&gt;0,1,0)</f>
        <v>0</v>
      </c>
      <c r="F200" s="36" t="n">
        <f aca="false">IF(COUNTIFS('1 · BBDD Casos incluidos'!$A$2:$A$29,F$188,'1 · BBDD Casos incluidos'!$AB$2:$AB$29,"*;"&amp;$A200&amp;";*")&gt;0,1,0)</f>
        <v>0</v>
      </c>
      <c r="G200" s="36" t="n">
        <f aca="false">IF(COUNTIFS('1 · BBDD Casos incluidos'!$A$2:$A$29,G$188,'1 · BBDD Casos incluidos'!$AB$2:$AB$29,"*;"&amp;$A200&amp;";*")&gt;0,1,0)</f>
        <v>0</v>
      </c>
      <c r="H200" s="36" t="n">
        <f aca="false">IF(COUNTIFS('1 · BBDD Casos incluidos'!$A$2:$A$29,H$188,'1 · BBDD Casos incluidos'!$AB$2:$AB$29,"*;"&amp;$A200&amp;";*")&gt;0,1,0)</f>
        <v>0</v>
      </c>
      <c r="I200" s="36" t="n">
        <f aca="false">IF(COUNTIFS('1 · BBDD Casos incluidos'!$A$2:$A$29,I$188,'1 · BBDD Casos incluidos'!$AB$2:$AB$29,"*;"&amp;$A200&amp;";*")&gt;0,1,0)</f>
        <v>0</v>
      </c>
      <c r="J200" s="36" t="n">
        <f aca="false">IF(COUNTIFS('1 · BBDD Casos incluidos'!$A$2:$A$29,J$188,'1 · BBDD Casos incluidos'!$AB$2:$AB$29,"*;"&amp;$A200&amp;";*")&gt;0,1,0)</f>
        <v>0</v>
      </c>
      <c r="K200" s="36" t="n">
        <f aca="false">IF(COUNTIFS('1 · BBDD Casos incluidos'!$A$2:$A$29,K$188,'1 · BBDD Casos incluidos'!$AB$2:$AB$29,"*;"&amp;$A200&amp;";*")&gt;0,1,0)</f>
        <v>0</v>
      </c>
      <c r="L200" s="36" t="n">
        <f aca="false">IF(COUNTIFS('1 · BBDD Casos incluidos'!$A$2:$A$29,L$188,'1 · BBDD Casos incluidos'!$AB$2:$AB$29,"*;"&amp;$A200&amp;";*")&gt;0,1,0)</f>
        <v>0</v>
      </c>
      <c r="M200" s="36" t="n">
        <f aca="false">IF(COUNTIFS('1 · BBDD Casos incluidos'!$A$2:$A$29,M$188,'1 · BBDD Casos incluidos'!$AB$2:$AB$29,"*;"&amp;$A200&amp;";*")&gt;0,1,0)</f>
        <v>0</v>
      </c>
      <c r="N200" s="36" t="n">
        <f aca="false">IF(COUNTIFS('1 · BBDD Casos incluidos'!$A$2:$A$29,N$188,'1 · BBDD Casos incluidos'!$AB$2:$AB$29,"*;"&amp;$A200&amp;";*")&gt;0,1,0)</f>
        <v>0</v>
      </c>
      <c r="O200" s="36" t="n">
        <f aca="false">IF(COUNTIFS('1 · BBDD Casos incluidos'!$A$2:$A$29,O$188,'1 · BBDD Casos incluidos'!$AB$2:$AB$29,"*;"&amp;$A200&amp;";*")&gt;0,1,0)</f>
        <v>0</v>
      </c>
      <c r="P200" s="36" t="n">
        <f aca="false">IF(COUNTIFS('1 · BBDD Casos incluidos'!$A$2:$A$29,P$188,'1 · BBDD Casos incluidos'!$AB$2:$AB$29,"*;"&amp;$A200&amp;";*")&gt;0,1,0)</f>
        <v>0</v>
      </c>
      <c r="Q200" s="36" t="n">
        <f aca="false">IF(COUNTIFS('1 · BBDD Casos incluidos'!$A$2:$A$29,Q$188,'1 · BBDD Casos incluidos'!$AB$2:$AB$29,"*;"&amp;$A200&amp;";*")&gt;0,1,0)</f>
        <v>0</v>
      </c>
      <c r="R200" s="36" t="n">
        <f aca="false">IF(COUNTIFS('1 · BBDD Casos incluidos'!$A$2:$A$29,R$188,'1 · BBDD Casos incluidos'!$AB$2:$AB$29,"*;"&amp;$A200&amp;";*")&gt;0,1,0)</f>
        <v>0</v>
      </c>
      <c r="S200" s="36" t="n">
        <f aca="false">IF(COUNTIFS('1 · BBDD Casos incluidos'!$A$2:$A$29,S$188,'1 · BBDD Casos incluidos'!$AB$2:$AB$29,"*;"&amp;$A200&amp;";*")&gt;0,1,0)</f>
        <v>0</v>
      </c>
      <c r="T200" s="36" t="n">
        <f aca="false">IF(COUNTIFS('1 · BBDD Casos incluidos'!$A$2:$A$29,T$188,'1 · BBDD Casos incluidos'!$AB$2:$AB$29,"*;"&amp;$A200&amp;";*")&gt;0,1,0)</f>
        <v>0</v>
      </c>
      <c r="U200" s="36" t="n">
        <f aca="false">IF(COUNTIFS('1 · BBDD Casos incluidos'!$A$2:$A$29,U$188,'1 · BBDD Casos incluidos'!$AB$2:$AB$29,"*;"&amp;$A200&amp;";*")&gt;0,1,0)</f>
        <v>0</v>
      </c>
    </row>
    <row r="201" customFormat="false" ht="15" hidden="false" customHeight="false" outlineLevel="0" collapsed="false">
      <c r="A201" s="6" t="s">
        <v>378</v>
      </c>
      <c r="B201" s="36" t="n">
        <f aca="false">IF(COUNTIFS('1 · BBDD Casos incluidos'!$A$2:$A$29,B$188,'1 · BBDD Casos incluidos'!$AB$2:$AB$29,"*;"&amp;$A201&amp;";*")&gt;0,1,0)</f>
        <v>0</v>
      </c>
      <c r="C201" s="36" t="n">
        <f aca="false">IF(COUNTIFS('1 · BBDD Casos incluidos'!$A$2:$A$29,C$188,'1 · BBDD Casos incluidos'!$AB$2:$AB$29,"*;"&amp;$A201&amp;";*")&gt;0,1,0)</f>
        <v>0</v>
      </c>
      <c r="D201" s="36" t="n">
        <f aca="false">IF(COUNTIFS('1 · BBDD Casos incluidos'!$A$2:$A$29,D$188,'1 · BBDD Casos incluidos'!$AB$2:$AB$29,"*;"&amp;$A201&amp;";*")&gt;0,1,0)</f>
        <v>0</v>
      </c>
      <c r="E201" s="36" t="n">
        <f aca="false">IF(COUNTIFS('1 · BBDD Casos incluidos'!$A$2:$A$29,E$188,'1 · BBDD Casos incluidos'!$AB$2:$AB$29,"*;"&amp;$A201&amp;";*")&gt;0,1,0)</f>
        <v>1</v>
      </c>
      <c r="F201" s="36" t="n">
        <f aca="false">IF(COUNTIFS('1 · BBDD Casos incluidos'!$A$2:$A$29,F$188,'1 · BBDD Casos incluidos'!$AB$2:$AB$29,"*;"&amp;$A201&amp;";*")&gt;0,1,0)</f>
        <v>0</v>
      </c>
      <c r="G201" s="36" t="n">
        <f aca="false">IF(COUNTIFS('1 · BBDD Casos incluidos'!$A$2:$A$29,G$188,'1 · BBDD Casos incluidos'!$AB$2:$AB$29,"*;"&amp;$A201&amp;";*")&gt;0,1,0)</f>
        <v>0</v>
      </c>
      <c r="H201" s="36" t="n">
        <f aca="false">IF(COUNTIFS('1 · BBDD Casos incluidos'!$A$2:$A$29,H$188,'1 · BBDD Casos incluidos'!$AB$2:$AB$29,"*;"&amp;$A201&amp;";*")&gt;0,1,0)</f>
        <v>0</v>
      </c>
      <c r="I201" s="36" t="n">
        <f aca="false">IF(COUNTIFS('1 · BBDD Casos incluidos'!$A$2:$A$29,I$188,'1 · BBDD Casos incluidos'!$AB$2:$AB$29,"*;"&amp;$A201&amp;";*")&gt;0,1,0)</f>
        <v>0</v>
      </c>
      <c r="J201" s="36" t="n">
        <f aca="false">IF(COUNTIFS('1 · BBDD Casos incluidos'!$A$2:$A$29,J$188,'1 · BBDD Casos incluidos'!$AB$2:$AB$29,"*;"&amp;$A201&amp;";*")&gt;0,1,0)</f>
        <v>0</v>
      </c>
      <c r="K201" s="36" t="n">
        <f aca="false">IF(COUNTIFS('1 · BBDD Casos incluidos'!$A$2:$A$29,K$188,'1 · BBDD Casos incluidos'!$AB$2:$AB$29,"*;"&amp;$A201&amp;";*")&gt;0,1,0)</f>
        <v>0</v>
      </c>
      <c r="L201" s="36" t="n">
        <f aca="false">IF(COUNTIFS('1 · BBDD Casos incluidos'!$A$2:$A$29,L$188,'1 · BBDD Casos incluidos'!$AB$2:$AB$29,"*;"&amp;$A201&amp;";*")&gt;0,1,0)</f>
        <v>0</v>
      </c>
      <c r="M201" s="36" t="n">
        <f aca="false">IF(COUNTIFS('1 · BBDD Casos incluidos'!$A$2:$A$29,M$188,'1 · BBDD Casos incluidos'!$AB$2:$AB$29,"*;"&amp;$A201&amp;";*")&gt;0,1,0)</f>
        <v>0</v>
      </c>
      <c r="N201" s="36" t="n">
        <f aca="false">IF(COUNTIFS('1 · BBDD Casos incluidos'!$A$2:$A$29,N$188,'1 · BBDD Casos incluidos'!$AB$2:$AB$29,"*;"&amp;$A201&amp;";*")&gt;0,1,0)</f>
        <v>0</v>
      </c>
      <c r="O201" s="36" t="n">
        <f aca="false">IF(COUNTIFS('1 · BBDD Casos incluidos'!$A$2:$A$29,O$188,'1 · BBDD Casos incluidos'!$AB$2:$AB$29,"*;"&amp;$A201&amp;";*")&gt;0,1,0)</f>
        <v>0</v>
      </c>
      <c r="P201" s="36" t="n">
        <f aca="false">IF(COUNTIFS('1 · BBDD Casos incluidos'!$A$2:$A$29,P$188,'1 · BBDD Casos incluidos'!$AB$2:$AB$29,"*;"&amp;$A201&amp;";*")&gt;0,1,0)</f>
        <v>0</v>
      </c>
      <c r="Q201" s="36" t="n">
        <f aca="false">IF(COUNTIFS('1 · BBDD Casos incluidos'!$A$2:$A$29,Q$188,'1 · BBDD Casos incluidos'!$AB$2:$AB$29,"*;"&amp;$A201&amp;";*")&gt;0,1,0)</f>
        <v>0</v>
      </c>
      <c r="R201" s="36" t="n">
        <f aca="false">IF(COUNTIFS('1 · BBDD Casos incluidos'!$A$2:$A$29,R$188,'1 · BBDD Casos incluidos'!$AB$2:$AB$29,"*;"&amp;$A201&amp;";*")&gt;0,1,0)</f>
        <v>0</v>
      </c>
      <c r="S201" s="36" t="n">
        <f aca="false">IF(COUNTIFS('1 · BBDD Casos incluidos'!$A$2:$A$29,S$188,'1 · BBDD Casos incluidos'!$AB$2:$AB$29,"*;"&amp;$A201&amp;";*")&gt;0,1,0)</f>
        <v>0</v>
      </c>
      <c r="T201" s="36" t="n">
        <f aca="false">IF(COUNTIFS('1 · BBDD Casos incluidos'!$A$2:$A$29,T$188,'1 · BBDD Casos incluidos'!$AB$2:$AB$29,"*;"&amp;$A201&amp;";*")&gt;0,1,0)</f>
        <v>0</v>
      </c>
      <c r="U201" s="36" t="n">
        <f aca="false">IF(COUNTIFS('1 · BBDD Casos incluidos'!$A$2:$A$29,U$188,'1 · BBDD Casos incluidos'!$AB$2:$AB$29,"*;"&amp;$A201&amp;";*")&gt;0,1,0)</f>
        <v>0</v>
      </c>
    </row>
    <row r="202" customFormat="false" ht="15" hidden="false" customHeight="false" outlineLevel="0" collapsed="false">
      <c r="A202" s="6" t="s">
        <v>379</v>
      </c>
      <c r="B202" s="36" t="n">
        <f aca="false">IF(COUNTIFS('1 · BBDD Casos incluidos'!$A$2:$A$29,B$188,'1 · BBDD Casos incluidos'!$AB$2:$AB$29,"*;"&amp;$A202&amp;";*")&gt;0,1,0)</f>
        <v>0</v>
      </c>
      <c r="C202" s="36" t="n">
        <f aca="false">IF(COUNTIFS('1 · BBDD Casos incluidos'!$A$2:$A$29,C$188,'1 · BBDD Casos incluidos'!$AB$2:$AB$29,"*;"&amp;$A202&amp;";*")&gt;0,1,0)</f>
        <v>0</v>
      </c>
      <c r="D202" s="36" t="n">
        <f aca="false">IF(COUNTIFS('1 · BBDD Casos incluidos'!$A$2:$A$29,D$188,'1 · BBDD Casos incluidos'!$AB$2:$AB$29,"*;"&amp;$A202&amp;";*")&gt;0,1,0)</f>
        <v>0</v>
      </c>
      <c r="E202" s="36" t="n">
        <f aca="false">IF(COUNTIFS('1 · BBDD Casos incluidos'!$A$2:$A$29,E$188,'1 · BBDD Casos incluidos'!$AB$2:$AB$29,"*;"&amp;$A202&amp;";*")&gt;0,1,0)</f>
        <v>1</v>
      </c>
      <c r="F202" s="36" t="n">
        <f aca="false">IF(COUNTIFS('1 · BBDD Casos incluidos'!$A$2:$A$29,F$188,'1 · BBDD Casos incluidos'!$AB$2:$AB$29,"*;"&amp;$A202&amp;";*")&gt;0,1,0)</f>
        <v>0</v>
      </c>
      <c r="G202" s="36" t="n">
        <f aca="false">IF(COUNTIFS('1 · BBDD Casos incluidos'!$A$2:$A$29,G$188,'1 · BBDD Casos incluidos'!$AB$2:$AB$29,"*;"&amp;$A202&amp;";*")&gt;0,1,0)</f>
        <v>0</v>
      </c>
      <c r="H202" s="36" t="n">
        <f aca="false">IF(COUNTIFS('1 · BBDD Casos incluidos'!$A$2:$A$29,H$188,'1 · BBDD Casos incluidos'!$AB$2:$AB$29,"*;"&amp;$A202&amp;";*")&gt;0,1,0)</f>
        <v>0</v>
      </c>
      <c r="I202" s="36" t="n">
        <f aca="false">IF(COUNTIFS('1 · BBDD Casos incluidos'!$A$2:$A$29,I$188,'1 · BBDD Casos incluidos'!$AB$2:$AB$29,"*;"&amp;$A202&amp;";*")&gt;0,1,0)</f>
        <v>0</v>
      </c>
      <c r="J202" s="36" t="n">
        <f aca="false">IF(COUNTIFS('1 · BBDD Casos incluidos'!$A$2:$A$29,J$188,'1 · BBDD Casos incluidos'!$AB$2:$AB$29,"*;"&amp;$A202&amp;";*")&gt;0,1,0)</f>
        <v>0</v>
      </c>
      <c r="K202" s="36" t="n">
        <f aca="false">IF(COUNTIFS('1 · BBDD Casos incluidos'!$A$2:$A$29,K$188,'1 · BBDD Casos incluidos'!$AB$2:$AB$29,"*;"&amp;$A202&amp;";*")&gt;0,1,0)</f>
        <v>0</v>
      </c>
      <c r="L202" s="36" t="n">
        <f aca="false">IF(COUNTIFS('1 · BBDD Casos incluidos'!$A$2:$A$29,L$188,'1 · BBDD Casos incluidos'!$AB$2:$AB$29,"*;"&amp;$A202&amp;";*")&gt;0,1,0)</f>
        <v>0</v>
      </c>
      <c r="M202" s="36" t="n">
        <f aca="false">IF(COUNTIFS('1 · BBDD Casos incluidos'!$A$2:$A$29,M$188,'1 · BBDD Casos incluidos'!$AB$2:$AB$29,"*;"&amp;$A202&amp;";*")&gt;0,1,0)</f>
        <v>0</v>
      </c>
      <c r="N202" s="36" t="n">
        <f aca="false">IF(COUNTIFS('1 · BBDD Casos incluidos'!$A$2:$A$29,N$188,'1 · BBDD Casos incluidos'!$AB$2:$AB$29,"*;"&amp;$A202&amp;";*")&gt;0,1,0)</f>
        <v>0</v>
      </c>
      <c r="O202" s="36" t="n">
        <f aca="false">IF(COUNTIFS('1 · BBDD Casos incluidos'!$A$2:$A$29,O$188,'1 · BBDD Casos incluidos'!$AB$2:$AB$29,"*;"&amp;$A202&amp;";*")&gt;0,1,0)</f>
        <v>0</v>
      </c>
      <c r="P202" s="36" t="n">
        <f aca="false">IF(COUNTIFS('1 · BBDD Casos incluidos'!$A$2:$A$29,P$188,'1 · BBDD Casos incluidos'!$AB$2:$AB$29,"*;"&amp;$A202&amp;";*")&gt;0,1,0)</f>
        <v>0</v>
      </c>
      <c r="Q202" s="36" t="n">
        <f aca="false">IF(COUNTIFS('1 · BBDD Casos incluidos'!$A$2:$A$29,Q$188,'1 · BBDD Casos incluidos'!$AB$2:$AB$29,"*;"&amp;$A202&amp;";*")&gt;0,1,0)</f>
        <v>0</v>
      </c>
      <c r="R202" s="36" t="n">
        <f aca="false">IF(COUNTIFS('1 · BBDD Casos incluidos'!$A$2:$A$29,R$188,'1 · BBDD Casos incluidos'!$AB$2:$AB$29,"*;"&amp;$A202&amp;";*")&gt;0,1,0)</f>
        <v>0</v>
      </c>
      <c r="S202" s="36" t="n">
        <f aca="false">IF(COUNTIFS('1 · BBDD Casos incluidos'!$A$2:$A$29,S$188,'1 · BBDD Casos incluidos'!$AB$2:$AB$29,"*;"&amp;$A202&amp;";*")&gt;0,1,0)</f>
        <v>0</v>
      </c>
      <c r="T202" s="36" t="n">
        <f aca="false">IF(COUNTIFS('1 · BBDD Casos incluidos'!$A$2:$A$29,T$188,'1 · BBDD Casos incluidos'!$AB$2:$AB$29,"*;"&amp;$A202&amp;";*")&gt;0,1,0)</f>
        <v>0</v>
      </c>
      <c r="U202" s="36" t="n">
        <f aca="false">IF(COUNTIFS('1 · BBDD Casos incluidos'!$A$2:$A$29,U$188,'1 · BBDD Casos incluidos'!$AB$2:$AB$29,"*;"&amp;$A202&amp;";*")&gt;0,1,0)</f>
        <v>0</v>
      </c>
    </row>
    <row r="203" customFormat="false" ht="15" hidden="false" customHeight="false" outlineLevel="0" collapsed="false">
      <c r="A203" s="6" t="s">
        <v>380</v>
      </c>
      <c r="B203" s="36" t="n">
        <f aca="false">IF(COUNTIFS('1 · BBDD Casos incluidos'!$A$2:$A$29,B$188,'1 · BBDD Casos incluidos'!$AB$2:$AB$29,"*;"&amp;$A203&amp;";*")&gt;0,1,0)</f>
        <v>0</v>
      </c>
      <c r="C203" s="36" t="n">
        <f aca="false">IF(COUNTIFS('1 · BBDD Casos incluidos'!$A$2:$A$29,C$188,'1 · BBDD Casos incluidos'!$AB$2:$AB$29,"*;"&amp;$A203&amp;";*")&gt;0,1,0)</f>
        <v>0</v>
      </c>
      <c r="D203" s="36" t="n">
        <f aca="false">IF(COUNTIFS('1 · BBDD Casos incluidos'!$A$2:$A$29,D$188,'1 · BBDD Casos incluidos'!$AB$2:$AB$29,"*;"&amp;$A203&amp;";*")&gt;0,1,0)</f>
        <v>0</v>
      </c>
      <c r="E203" s="36" t="n">
        <f aca="false">IF(COUNTIFS('1 · BBDD Casos incluidos'!$A$2:$A$29,E$188,'1 · BBDD Casos incluidos'!$AB$2:$AB$29,"*;"&amp;$A203&amp;";*")&gt;0,1,0)</f>
        <v>1</v>
      </c>
      <c r="F203" s="36" t="n">
        <f aca="false">IF(COUNTIFS('1 · BBDD Casos incluidos'!$A$2:$A$29,F$188,'1 · BBDD Casos incluidos'!$AB$2:$AB$29,"*;"&amp;$A203&amp;";*")&gt;0,1,0)</f>
        <v>0</v>
      </c>
      <c r="G203" s="36" t="n">
        <f aca="false">IF(COUNTIFS('1 · BBDD Casos incluidos'!$A$2:$A$29,G$188,'1 · BBDD Casos incluidos'!$AB$2:$AB$29,"*;"&amp;$A203&amp;";*")&gt;0,1,0)</f>
        <v>0</v>
      </c>
      <c r="H203" s="36" t="n">
        <f aca="false">IF(COUNTIFS('1 · BBDD Casos incluidos'!$A$2:$A$29,H$188,'1 · BBDD Casos incluidos'!$AB$2:$AB$29,"*;"&amp;$A203&amp;";*")&gt;0,1,0)</f>
        <v>0</v>
      </c>
      <c r="I203" s="36" t="n">
        <f aca="false">IF(COUNTIFS('1 · BBDD Casos incluidos'!$A$2:$A$29,I$188,'1 · BBDD Casos incluidos'!$AB$2:$AB$29,"*;"&amp;$A203&amp;";*")&gt;0,1,0)</f>
        <v>0</v>
      </c>
      <c r="J203" s="36" t="n">
        <f aca="false">IF(COUNTIFS('1 · BBDD Casos incluidos'!$A$2:$A$29,J$188,'1 · BBDD Casos incluidos'!$AB$2:$AB$29,"*;"&amp;$A203&amp;";*")&gt;0,1,0)</f>
        <v>0</v>
      </c>
      <c r="K203" s="36" t="n">
        <f aca="false">IF(COUNTIFS('1 · BBDD Casos incluidos'!$A$2:$A$29,K$188,'1 · BBDD Casos incluidos'!$AB$2:$AB$29,"*;"&amp;$A203&amp;";*")&gt;0,1,0)</f>
        <v>0</v>
      </c>
      <c r="L203" s="36" t="n">
        <f aca="false">IF(COUNTIFS('1 · BBDD Casos incluidos'!$A$2:$A$29,L$188,'1 · BBDD Casos incluidos'!$AB$2:$AB$29,"*;"&amp;$A203&amp;";*")&gt;0,1,0)</f>
        <v>0</v>
      </c>
      <c r="M203" s="36" t="n">
        <f aca="false">IF(COUNTIFS('1 · BBDD Casos incluidos'!$A$2:$A$29,M$188,'1 · BBDD Casos incluidos'!$AB$2:$AB$29,"*;"&amp;$A203&amp;";*")&gt;0,1,0)</f>
        <v>0</v>
      </c>
      <c r="N203" s="36" t="n">
        <f aca="false">IF(COUNTIFS('1 · BBDD Casos incluidos'!$A$2:$A$29,N$188,'1 · BBDD Casos incluidos'!$AB$2:$AB$29,"*;"&amp;$A203&amp;";*")&gt;0,1,0)</f>
        <v>0</v>
      </c>
      <c r="O203" s="36" t="n">
        <f aca="false">IF(COUNTIFS('1 · BBDD Casos incluidos'!$A$2:$A$29,O$188,'1 · BBDD Casos incluidos'!$AB$2:$AB$29,"*;"&amp;$A203&amp;";*")&gt;0,1,0)</f>
        <v>0</v>
      </c>
      <c r="P203" s="36" t="n">
        <f aca="false">IF(COUNTIFS('1 · BBDD Casos incluidos'!$A$2:$A$29,P$188,'1 · BBDD Casos incluidos'!$AB$2:$AB$29,"*;"&amp;$A203&amp;";*")&gt;0,1,0)</f>
        <v>0</v>
      </c>
      <c r="Q203" s="36" t="n">
        <f aca="false">IF(COUNTIFS('1 · BBDD Casos incluidos'!$A$2:$A$29,Q$188,'1 · BBDD Casos incluidos'!$AB$2:$AB$29,"*;"&amp;$A203&amp;";*")&gt;0,1,0)</f>
        <v>0</v>
      </c>
      <c r="R203" s="36" t="n">
        <f aca="false">IF(COUNTIFS('1 · BBDD Casos incluidos'!$A$2:$A$29,R$188,'1 · BBDD Casos incluidos'!$AB$2:$AB$29,"*;"&amp;$A203&amp;";*")&gt;0,1,0)</f>
        <v>0</v>
      </c>
      <c r="S203" s="36" t="n">
        <f aca="false">IF(COUNTIFS('1 · BBDD Casos incluidos'!$A$2:$A$29,S$188,'1 · BBDD Casos incluidos'!$AB$2:$AB$29,"*;"&amp;$A203&amp;";*")&gt;0,1,0)</f>
        <v>0</v>
      </c>
      <c r="T203" s="36" t="n">
        <f aca="false">IF(COUNTIFS('1 · BBDD Casos incluidos'!$A$2:$A$29,T$188,'1 · BBDD Casos incluidos'!$AB$2:$AB$29,"*;"&amp;$A203&amp;";*")&gt;0,1,0)</f>
        <v>0</v>
      </c>
      <c r="U203" s="36" t="n">
        <f aca="false">IF(COUNTIFS('1 · BBDD Casos incluidos'!$A$2:$A$29,U$188,'1 · BBDD Casos incluidos'!$AB$2:$AB$29,"*;"&amp;$A203&amp;";*")&gt;0,1,0)</f>
        <v>0</v>
      </c>
    </row>
    <row r="204" customFormat="false" ht="15" hidden="false" customHeight="false" outlineLevel="0" collapsed="false">
      <c r="A204" s="6" t="s">
        <v>381</v>
      </c>
      <c r="B204" s="36" t="n">
        <f aca="false">IF(COUNTIFS('1 · BBDD Casos incluidos'!$A$2:$A$29,B$188,'1 · BBDD Casos incluidos'!$AB$2:$AB$29,"*;"&amp;$A204&amp;";*")&gt;0,1,0)</f>
        <v>0</v>
      </c>
      <c r="C204" s="36" t="n">
        <f aca="false">IF(COUNTIFS('1 · BBDD Casos incluidos'!$A$2:$A$29,C$188,'1 · BBDD Casos incluidos'!$AB$2:$AB$29,"*;"&amp;$A204&amp;";*")&gt;0,1,0)</f>
        <v>0</v>
      </c>
      <c r="D204" s="36" t="n">
        <f aca="false">IF(COUNTIFS('1 · BBDD Casos incluidos'!$A$2:$A$29,D$188,'1 · BBDD Casos incluidos'!$AB$2:$AB$29,"*;"&amp;$A204&amp;";*")&gt;0,1,0)</f>
        <v>0</v>
      </c>
      <c r="E204" s="36" t="n">
        <f aca="false">IF(COUNTIFS('1 · BBDD Casos incluidos'!$A$2:$A$29,E$188,'1 · BBDD Casos incluidos'!$AB$2:$AB$29,"*;"&amp;$A204&amp;";*")&gt;0,1,0)</f>
        <v>1</v>
      </c>
      <c r="F204" s="36" t="n">
        <f aca="false">IF(COUNTIFS('1 · BBDD Casos incluidos'!$A$2:$A$29,F$188,'1 · BBDD Casos incluidos'!$AB$2:$AB$29,"*;"&amp;$A204&amp;";*")&gt;0,1,0)</f>
        <v>0</v>
      </c>
      <c r="G204" s="36" t="n">
        <f aca="false">IF(COUNTIFS('1 · BBDD Casos incluidos'!$A$2:$A$29,G$188,'1 · BBDD Casos incluidos'!$AB$2:$AB$29,"*;"&amp;$A204&amp;";*")&gt;0,1,0)</f>
        <v>0</v>
      </c>
      <c r="H204" s="36" t="n">
        <f aca="false">IF(COUNTIFS('1 · BBDD Casos incluidos'!$A$2:$A$29,H$188,'1 · BBDD Casos incluidos'!$AB$2:$AB$29,"*;"&amp;$A204&amp;";*")&gt;0,1,0)</f>
        <v>0</v>
      </c>
      <c r="I204" s="36" t="n">
        <f aca="false">IF(COUNTIFS('1 · BBDD Casos incluidos'!$A$2:$A$29,I$188,'1 · BBDD Casos incluidos'!$AB$2:$AB$29,"*;"&amp;$A204&amp;";*")&gt;0,1,0)</f>
        <v>0</v>
      </c>
      <c r="J204" s="36" t="n">
        <f aca="false">IF(COUNTIFS('1 · BBDD Casos incluidos'!$A$2:$A$29,J$188,'1 · BBDD Casos incluidos'!$AB$2:$AB$29,"*;"&amp;$A204&amp;";*")&gt;0,1,0)</f>
        <v>0</v>
      </c>
      <c r="K204" s="36" t="n">
        <f aca="false">IF(COUNTIFS('1 · BBDD Casos incluidos'!$A$2:$A$29,K$188,'1 · BBDD Casos incluidos'!$AB$2:$AB$29,"*;"&amp;$A204&amp;";*")&gt;0,1,0)</f>
        <v>0</v>
      </c>
      <c r="L204" s="36" t="n">
        <f aca="false">IF(COUNTIFS('1 · BBDD Casos incluidos'!$A$2:$A$29,L$188,'1 · BBDD Casos incluidos'!$AB$2:$AB$29,"*;"&amp;$A204&amp;";*")&gt;0,1,0)</f>
        <v>0</v>
      </c>
      <c r="M204" s="36" t="n">
        <f aca="false">IF(COUNTIFS('1 · BBDD Casos incluidos'!$A$2:$A$29,M$188,'1 · BBDD Casos incluidos'!$AB$2:$AB$29,"*;"&amp;$A204&amp;";*")&gt;0,1,0)</f>
        <v>0</v>
      </c>
      <c r="N204" s="36" t="n">
        <f aca="false">IF(COUNTIFS('1 · BBDD Casos incluidos'!$A$2:$A$29,N$188,'1 · BBDD Casos incluidos'!$AB$2:$AB$29,"*;"&amp;$A204&amp;";*")&gt;0,1,0)</f>
        <v>0</v>
      </c>
      <c r="O204" s="36" t="n">
        <f aca="false">IF(COUNTIFS('1 · BBDD Casos incluidos'!$A$2:$A$29,O$188,'1 · BBDD Casos incluidos'!$AB$2:$AB$29,"*;"&amp;$A204&amp;";*")&gt;0,1,0)</f>
        <v>0</v>
      </c>
      <c r="P204" s="36" t="n">
        <f aca="false">IF(COUNTIFS('1 · BBDD Casos incluidos'!$A$2:$A$29,P$188,'1 · BBDD Casos incluidos'!$AB$2:$AB$29,"*;"&amp;$A204&amp;";*")&gt;0,1,0)</f>
        <v>0</v>
      </c>
      <c r="Q204" s="36" t="n">
        <f aca="false">IF(COUNTIFS('1 · BBDD Casos incluidos'!$A$2:$A$29,Q$188,'1 · BBDD Casos incluidos'!$AB$2:$AB$29,"*;"&amp;$A204&amp;";*")&gt;0,1,0)</f>
        <v>0</v>
      </c>
      <c r="R204" s="36" t="n">
        <f aca="false">IF(COUNTIFS('1 · BBDD Casos incluidos'!$A$2:$A$29,R$188,'1 · BBDD Casos incluidos'!$AB$2:$AB$29,"*;"&amp;$A204&amp;";*")&gt;0,1,0)</f>
        <v>0</v>
      </c>
      <c r="S204" s="36" t="n">
        <f aca="false">IF(COUNTIFS('1 · BBDD Casos incluidos'!$A$2:$A$29,S$188,'1 · BBDD Casos incluidos'!$AB$2:$AB$29,"*;"&amp;$A204&amp;";*")&gt;0,1,0)</f>
        <v>0</v>
      </c>
      <c r="T204" s="36" t="n">
        <f aca="false">IF(COUNTIFS('1 · BBDD Casos incluidos'!$A$2:$A$29,T$188,'1 · BBDD Casos incluidos'!$AB$2:$AB$29,"*;"&amp;$A204&amp;";*")&gt;0,1,0)</f>
        <v>0</v>
      </c>
      <c r="U204" s="36" t="n">
        <f aca="false">IF(COUNTIFS('1 · BBDD Casos incluidos'!$A$2:$A$29,U$188,'1 · BBDD Casos incluidos'!$AB$2:$AB$29,"*;"&amp;$A204&amp;";*")&gt;0,1,0)</f>
        <v>0</v>
      </c>
    </row>
    <row r="205" customFormat="false" ht="15" hidden="false" customHeight="false" outlineLevel="0" collapsed="false">
      <c r="A205" s="6" t="s">
        <v>382</v>
      </c>
      <c r="B205" s="36" t="n">
        <f aca="false">IF(COUNTIFS('1 · BBDD Casos incluidos'!$A$2:$A$29,B$188,'1 · BBDD Casos incluidos'!$AB$2:$AB$29,"*;"&amp;$A205&amp;";*")&gt;0,1,0)</f>
        <v>0</v>
      </c>
      <c r="C205" s="36" t="n">
        <f aca="false">IF(COUNTIFS('1 · BBDD Casos incluidos'!$A$2:$A$29,C$188,'1 · BBDD Casos incluidos'!$AB$2:$AB$29,"*;"&amp;$A205&amp;";*")&gt;0,1,0)</f>
        <v>0</v>
      </c>
      <c r="D205" s="36" t="n">
        <f aca="false">IF(COUNTIFS('1 · BBDD Casos incluidos'!$A$2:$A$29,D$188,'1 · BBDD Casos incluidos'!$AB$2:$AB$29,"*;"&amp;$A205&amp;";*")&gt;0,1,0)</f>
        <v>0</v>
      </c>
      <c r="E205" s="36" t="n">
        <f aca="false">IF(COUNTIFS('1 · BBDD Casos incluidos'!$A$2:$A$29,E$188,'1 · BBDD Casos incluidos'!$AB$2:$AB$29,"*;"&amp;$A205&amp;";*")&gt;0,1,0)</f>
        <v>1</v>
      </c>
      <c r="F205" s="36" t="n">
        <f aca="false">IF(COUNTIFS('1 · BBDD Casos incluidos'!$A$2:$A$29,F$188,'1 · BBDD Casos incluidos'!$AB$2:$AB$29,"*;"&amp;$A205&amp;";*")&gt;0,1,0)</f>
        <v>0</v>
      </c>
      <c r="G205" s="36" t="n">
        <f aca="false">IF(COUNTIFS('1 · BBDD Casos incluidos'!$A$2:$A$29,G$188,'1 · BBDD Casos incluidos'!$AB$2:$AB$29,"*;"&amp;$A205&amp;";*")&gt;0,1,0)</f>
        <v>0</v>
      </c>
      <c r="H205" s="36" t="n">
        <f aca="false">IF(COUNTIFS('1 · BBDD Casos incluidos'!$A$2:$A$29,H$188,'1 · BBDD Casos incluidos'!$AB$2:$AB$29,"*;"&amp;$A205&amp;";*")&gt;0,1,0)</f>
        <v>0</v>
      </c>
      <c r="I205" s="36" t="n">
        <f aca="false">IF(COUNTIFS('1 · BBDD Casos incluidos'!$A$2:$A$29,I$188,'1 · BBDD Casos incluidos'!$AB$2:$AB$29,"*;"&amp;$A205&amp;";*")&gt;0,1,0)</f>
        <v>0</v>
      </c>
      <c r="J205" s="36" t="n">
        <f aca="false">IF(COUNTIFS('1 · BBDD Casos incluidos'!$A$2:$A$29,J$188,'1 · BBDD Casos incluidos'!$AB$2:$AB$29,"*;"&amp;$A205&amp;";*")&gt;0,1,0)</f>
        <v>0</v>
      </c>
      <c r="K205" s="36" t="n">
        <f aca="false">IF(COUNTIFS('1 · BBDD Casos incluidos'!$A$2:$A$29,K$188,'1 · BBDD Casos incluidos'!$AB$2:$AB$29,"*;"&amp;$A205&amp;";*")&gt;0,1,0)</f>
        <v>0</v>
      </c>
      <c r="L205" s="36" t="n">
        <f aca="false">IF(COUNTIFS('1 · BBDD Casos incluidos'!$A$2:$A$29,L$188,'1 · BBDD Casos incluidos'!$AB$2:$AB$29,"*;"&amp;$A205&amp;";*")&gt;0,1,0)</f>
        <v>0</v>
      </c>
      <c r="M205" s="36" t="n">
        <f aca="false">IF(COUNTIFS('1 · BBDD Casos incluidos'!$A$2:$A$29,M$188,'1 · BBDD Casos incluidos'!$AB$2:$AB$29,"*;"&amp;$A205&amp;";*")&gt;0,1,0)</f>
        <v>0</v>
      </c>
      <c r="N205" s="36" t="n">
        <f aca="false">IF(COUNTIFS('1 · BBDD Casos incluidos'!$A$2:$A$29,N$188,'1 · BBDD Casos incluidos'!$AB$2:$AB$29,"*;"&amp;$A205&amp;";*")&gt;0,1,0)</f>
        <v>0</v>
      </c>
      <c r="O205" s="36" t="n">
        <f aca="false">IF(COUNTIFS('1 · BBDD Casos incluidos'!$A$2:$A$29,O$188,'1 · BBDD Casos incluidos'!$AB$2:$AB$29,"*;"&amp;$A205&amp;";*")&gt;0,1,0)</f>
        <v>0</v>
      </c>
      <c r="P205" s="36" t="n">
        <f aca="false">IF(COUNTIFS('1 · BBDD Casos incluidos'!$A$2:$A$29,P$188,'1 · BBDD Casos incluidos'!$AB$2:$AB$29,"*;"&amp;$A205&amp;";*")&gt;0,1,0)</f>
        <v>0</v>
      </c>
      <c r="Q205" s="36" t="n">
        <f aca="false">IF(COUNTIFS('1 · BBDD Casos incluidos'!$A$2:$A$29,Q$188,'1 · BBDD Casos incluidos'!$AB$2:$AB$29,"*;"&amp;$A205&amp;";*")&gt;0,1,0)</f>
        <v>0</v>
      </c>
      <c r="R205" s="36" t="n">
        <f aca="false">IF(COUNTIFS('1 · BBDD Casos incluidos'!$A$2:$A$29,R$188,'1 · BBDD Casos incluidos'!$AB$2:$AB$29,"*;"&amp;$A205&amp;";*")&gt;0,1,0)</f>
        <v>0</v>
      </c>
      <c r="S205" s="36" t="n">
        <f aca="false">IF(COUNTIFS('1 · BBDD Casos incluidos'!$A$2:$A$29,S$188,'1 · BBDD Casos incluidos'!$AB$2:$AB$29,"*;"&amp;$A205&amp;";*")&gt;0,1,0)</f>
        <v>0</v>
      </c>
      <c r="T205" s="36" t="n">
        <f aca="false">IF(COUNTIFS('1 · BBDD Casos incluidos'!$A$2:$A$29,T$188,'1 · BBDD Casos incluidos'!$AB$2:$AB$29,"*;"&amp;$A205&amp;";*")&gt;0,1,0)</f>
        <v>0</v>
      </c>
      <c r="U205" s="36" t="n">
        <f aca="false">IF(COUNTIFS('1 · BBDD Casos incluidos'!$A$2:$A$29,U$188,'1 · BBDD Casos incluidos'!$AB$2:$AB$29,"*;"&amp;$A205&amp;";*")&gt;0,1,0)</f>
        <v>0</v>
      </c>
    </row>
    <row r="206" customFormat="false" ht="15" hidden="false" customHeight="false" outlineLevel="0" collapsed="false">
      <c r="A206" s="6" t="s">
        <v>383</v>
      </c>
      <c r="B206" s="36" t="n">
        <f aca="false">IF(COUNTIFS('1 · BBDD Casos incluidos'!$A$2:$A$29,B$188,'1 · BBDD Casos incluidos'!$AB$2:$AB$29,"*;"&amp;$A206&amp;";*")&gt;0,1,0)</f>
        <v>0</v>
      </c>
      <c r="C206" s="36" t="n">
        <f aca="false">IF(COUNTIFS('1 · BBDD Casos incluidos'!$A$2:$A$29,C$188,'1 · BBDD Casos incluidos'!$AB$2:$AB$29,"*;"&amp;$A206&amp;";*")&gt;0,1,0)</f>
        <v>0</v>
      </c>
      <c r="D206" s="36" t="n">
        <f aca="false">IF(COUNTIFS('1 · BBDD Casos incluidos'!$A$2:$A$29,D$188,'1 · BBDD Casos incluidos'!$AB$2:$AB$29,"*;"&amp;$A206&amp;";*")&gt;0,1,0)</f>
        <v>0</v>
      </c>
      <c r="E206" s="36" t="n">
        <f aca="false">IF(COUNTIFS('1 · BBDD Casos incluidos'!$A$2:$A$29,E$188,'1 · BBDD Casos incluidos'!$AB$2:$AB$29,"*;"&amp;$A206&amp;";*")&gt;0,1,0)</f>
        <v>1</v>
      </c>
      <c r="F206" s="36" t="n">
        <f aca="false">IF(COUNTIFS('1 · BBDD Casos incluidos'!$A$2:$A$29,F$188,'1 · BBDD Casos incluidos'!$AB$2:$AB$29,"*;"&amp;$A206&amp;";*")&gt;0,1,0)</f>
        <v>0</v>
      </c>
      <c r="G206" s="36" t="n">
        <f aca="false">IF(COUNTIFS('1 · BBDD Casos incluidos'!$A$2:$A$29,G$188,'1 · BBDD Casos incluidos'!$AB$2:$AB$29,"*;"&amp;$A206&amp;";*")&gt;0,1,0)</f>
        <v>0</v>
      </c>
      <c r="H206" s="36" t="n">
        <f aca="false">IF(COUNTIFS('1 · BBDD Casos incluidos'!$A$2:$A$29,H$188,'1 · BBDD Casos incluidos'!$AB$2:$AB$29,"*;"&amp;$A206&amp;";*")&gt;0,1,0)</f>
        <v>0</v>
      </c>
      <c r="I206" s="36" t="n">
        <f aca="false">IF(COUNTIFS('1 · BBDD Casos incluidos'!$A$2:$A$29,I$188,'1 · BBDD Casos incluidos'!$AB$2:$AB$29,"*;"&amp;$A206&amp;";*")&gt;0,1,0)</f>
        <v>0</v>
      </c>
      <c r="J206" s="36" t="n">
        <f aca="false">IF(COUNTIFS('1 · BBDD Casos incluidos'!$A$2:$A$29,J$188,'1 · BBDD Casos incluidos'!$AB$2:$AB$29,"*;"&amp;$A206&amp;";*")&gt;0,1,0)</f>
        <v>0</v>
      </c>
      <c r="K206" s="36" t="n">
        <f aca="false">IF(COUNTIFS('1 · BBDD Casos incluidos'!$A$2:$A$29,K$188,'1 · BBDD Casos incluidos'!$AB$2:$AB$29,"*;"&amp;$A206&amp;";*")&gt;0,1,0)</f>
        <v>0</v>
      </c>
      <c r="L206" s="36" t="n">
        <f aca="false">IF(COUNTIFS('1 · BBDD Casos incluidos'!$A$2:$A$29,L$188,'1 · BBDD Casos incluidos'!$AB$2:$AB$29,"*;"&amp;$A206&amp;";*")&gt;0,1,0)</f>
        <v>0</v>
      </c>
      <c r="M206" s="36" t="n">
        <f aca="false">IF(COUNTIFS('1 · BBDD Casos incluidos'!$A$2:$A$29,M$188,'1 · BBDD Casos incluidos'!$AB$2:$AB$29,"*;"&amp;$A206&amp;";*")&gt;0,1,0)</f>
        <v>0</v>
      </c>
      <c r="N206" s="36" t="n">
        <f aca="false">IF(COUNTIFS('1 · BBDD Casos incluidos'!$A$2:$A$29,N$188,'1 · BBDD Casos incluidos'!$AB$2:$AB$29,"*;"&amp;$A206&amp;";*")&gt;0,1,0)</f>
        <v>0</v>
      </c>
      <c r="O206" s="36" t="n">
        <f aca="false">IF(COUNTIFS('1 · BBDD Casos incluidos'!$A$2:$A$29,O$188,'1 · BBDD Casos incluidos'!$AB$2:$AB$29,"*;"&amp;$A206&amp;";*")&gt;0,1,0)</f>
        <v>0</v>
      </c>
      <c r="P206" s="36" t="n">
        <f aca="false">IF(COUNTIFS('1 · BBDD Casos incluidos'!$A$2:$A$29,P$188,'1 · BBDD Casos incluidos'!$AB$2:$AB$29,"*;"&amp;$A206&amp;";*")&gt;0,1,0)</f>
        <v>0</v>
      </c>
      <c r="Q206" s="36" t="n">
        <f aca="false">IF(COUNTIFS('1 · BBDD Casos incluidos'!$A$2:$A$29,Q$188,'1 · BBDD Casos incluidos'!$AB$2:$AB$29,"*;"&amp;$A206&amp;";*")&gt;0,1,0)</f>
        <v>0</v>
      </c>
      <c r="R206" s="36" t="n">
        <f aca="false">IF(COUNTIFS('1 · BBDD Casos incluidos'!$A$2:$A$29,R$188,'1 · BBDD Casos incluidos'!$AB$2:$AB$29,"*;"&amp;$A206&amp;";*")&gt;0,1,0)</f>
        <v>0</v>
      </c>
      <c r="S206" s="36" t="n">
        <f aca="false">IF(COUNTIFS('1 · BBDD Casos incluidos'!$A$2:$A$29,S$188,'1 · BBDD Casos incluidos'!$AB$2:$AB$29,"*;"&amp;$A206&amp;";*")&gt;0,1,0)</f>
        <v>0</v>
      </c>
      <c r="T206" s="36" t="n">
        <f aca="false">IF(COUNTIFS('1 · BBDD Casos incluidos'!$A$2:$A$29,T$188,'1 · BBDD Casos incluidos'!$AB$2:$AB$29,"*;"&amp;$A206&amp;";*")&gt;0,1,0)</f>
        <v>0</v>
      </c>
      <c r="U206" s="36" t="n">
        <f aca="false">IF(COUNTIFS('1 · BBDD Casos incluidos'!$A$2:$A$29,U$188,'1 · BBDD Casos incluidos'!$AB$2:$AB$29,"*;"&amp;$A206&amp;";*")&gt;0,1,0)</f>
        <v>0</v>
      </c>
    </row>
    <row r="207" customFormat="false" ht="15" hidden="false" customHeight="false" outlineLevel="0" collapsed="false">
      <c r="A207" s="6" t="s">
        <v>384</v>
      </c>
      <c r="B207" s="36" t="n">
        <f aca="false">IF(COUNTIFS('1 · BBDD Casos incluidos'!$A$2:$A$29,B$188,'1 · BBDD Casos incluidos'!$AB$2:$AB$29,"*;"&amp;$A207&amp;";*")&gt;0,1,0)</f>
        <v>0</v>
      </c>
      <c r="C207" s="36" t="n">
        <f aca="false">IF(COUNTIFS('1 · BBDD Casos incluidos'!$A$2:$A$29,C$188,'1 · BBDD Casos incluidos'!$AB$2:$AB$29,"*;"&amp;$A207&amp;";*")&gt;0,1,0)</f>
        <v>0</v>
      </c>
      <c r="D207" s="36" t="n">
        <f aca="false">IF(COUNTIFS('1 · BBDD Casos incluidos'!$A$2:$A$29,D$188,'1 · BBDD Casos incluidos'!$AB$2:$AB$29,"*;"&amp;$A207&amp;";*")&gt;0,1,0)</f>
        <v>0</v>
      </c>
      <c r="E207" s="36" t="n">
        <f aca="false">IF(COUNTIFS('1 · BBDD Casos incluidos'!$A$2:$A$29,E$188,'1 · BBDD Casos incluidos'!$AB$2:$AB$29,"*;"&amp;$A207&amp;";*")&gt;0,1,0)</f>
        <v>0</v>
      </c>
      <c r="F207" s="36" t="n">
        <f aca="false">IF(COUNTIFS('1 · BBDD Casos incluidos'!$A$2:$A$29,F$188,'1 · BBDD Casos incluidos'!$AB$2:$AB$29,"*;"&amp;$A207&amp;";*")&gt;0,1,0)</f>
        <v>1</v>
      </c>
      <c r="G207" s="36" t="n">
        <f aca="false">IF(COUNTIFS('1 · BBDD Casos incluidos'!$A$2:$A$29,G$188,'1 · BBDD Casos incluidos'!$AB$2:$AB$29,"*;"&amp;$A207&amp;";*")&gt;0,1,0)</f>
        <v>0</v>
      </c>
      <c r="H207" s="36" t="n">
        <f aca="false">IF(COUNTIFS('1 · BBDD Casos incluidos'!$A$2:$A$29,H$188,'1 · BBDD Casos incluidos'!$AB$2:$AB$29,"*;"&amp;$A207&amp;";*")&gt;0,1,0)</f>
        <v>0</v>
      </c>
      <c r="I207" s="36" t="n">
        <f aca="false">IF(COUNTIFS('1 · BBDD Casos incluidos'!$A$2:$A$29,I$188,'1 · BBDD Casos incluidos'!$AB$2:$AB$29,"*;"&amp;$A207&amp;";*")&gt;0,1,0)</f>
        <v>0</v>
      </c>
      <c r="J207" s="36" t="n">
        <f aca="false">IF(COUNTIFS('1 · BBDD Casos incluidos'!$A$2:$A$29,J$188,'1 · BBDD Casos incluidos'!$AB$2:$AB$29,"*;"&amp;$A207&amp;";*")&gt;0,1,0)</f>
        <v>0</v>
      </c>
      <c r="K207" s="36" t="n">
        <f aca="false">IF(COUNTIFS('1 · BBDD Casos incluidos'!$A$2:$A$29,K$188,'1 · BBDD Casos incluidos'!$AB$2:$AB$29,"*;"&amp;$A207&amp;";*")&gt;0,1,0)</f>
        <v>1</v>
      </c>
      <c r="L207" s="36" t="n">
        <f aca="false">IF(COUNTIFS('1 · BBDD Casos incluidos'!$A$2:$A$29,L$188,'1 · BBDD Casos incluidos'!$AB$2:$AB$29,"*;"&amp;$A207&amp;";*")&gt;0,1,0)</f>
        <v>0</v>
      </c>
      <c r="M207" s="36" t="n">
        <f aca="false">IF(COUNTIFS('1 · BBDD Casos incluidos'!$A$2:$A$29,M$188,'1 · BBDD Casos incluidos'!$AB$2:$AB$29,"*;"&amp;$A207&amp;";*")&gt;0,1,0)</f>
        <v>0</v>
      </c>
      <c r="N207" s="36" t="n">
        <f aca="false">IF(COUNTIFS('1 · BBDD Casos incluidos'!$A$2:$A$29,N$188,'1 · BBDD Casos incluidos'!$AB$2:$AB$29,"*;"&amp;$A207&amp;";*")&gt;0,1,0)</f>
        <v>0</v>
      </c>
      <c r="O207" s="36" t="n">
        <f aca="false">IF(COUNTIFS('1 · BBDD Casos incluidos'!$A$2:$A$29,O$188,'1 · BBDD Casos incluidos'!$AB$2:$AB$29,"*;"&amp;$A207&amp;";*")&gt;0,1,0)</f>
        <v>0</v>
      </c>
      <c r="P207" s="36" t="n">
        <f aca="false">IF(COUNTIFS('1 · BBDD Casos incluidos'!$A$2:$A$29,P$188,'1 · BBDD Casos incluidos'!$AB$2:$AB$29,"*;"&amp;$A207&amp;";*")&gt;0,1,0)</f>
        <v>1</v>
      </c>
      <c r="Q207" s="36" t="n">
        <f aca="false">IF(COUNTIFS('1 · BBDD Casos incluidos'!$A$2:$A$29,Q$188,'1 · BBDD Casos incluidos'!$AB$2:$AB$29,"*;"&amp;$A207&amp;";*")&gt;0,1,0)</f>
        <v>0</v>
      </c>
      <c r="R207" s="36" t="n">
        <f aca="false">IF(COUNTIFS('1 · BBDD Casos incluidos'!$A$2:$A$29,R$188,'1 · BBDD Casos incluidos'!$AB$2:$AB$29,"*;"&amp;$A207&amp;";*")&gt;0,1,0)</f>
        <v>0</v>
      </c>
      <c r="S207" s="36" t="n">
        <f aca="false">IF(COUNTIFS('1 · BBDD Casos incluidos'!$A$2:$A$29,S$188,'1 · BBDD Casos incluidos'!$AB$2:$AB$29,"*;"&amp;$A207&amp;";*")&gt;0,1,0)</f>
        <v>0</v>
      </c>
      <c r="T207" s="36" t="n">
        <f aca="false">IF(COUNTIFS('1 · BBDD Casos incluidos'!$A$2:$A$29,T$188,'1 · BBDD Casos incluidos'!$AB$2:$AB$29,"*;"&amp;$A207&amp;";*")&gt;0,1,0)</f>
        <v>0</v>
      </c>
      <c r="U207" s="36" t="n">
        <f aca="false">IF(COUNTIFS('1 · BBDD Casos incluidos'!$A$2:$A$29,U$188,'1 · BBDD Casos incluidos'!$AB$2:$AB$29,"*;"&amp;$A207&amp;";*")&gt;0,1,0)</f>
        <v>0</v>
      </c>
    </row>
    <row r="208" customFormat="false" ht="15" hidden="false" customHeight="false" outlineLevel="0" collapsed="false">
      <c r="A208" s="6" t="s">
        <v>385</v>
      </c>
      <c r="B208" s="36" t="n">
        <f aca="false">IF(COUNTIFS('1 · BBDD Casos incluidos'!$A$2:$A$29,B$188,'1 · BBDD Casos incluidos'!$AB$2:$AB$29,"*;"&amp;$A208&amp;";*")&gt;0,1,0)</f>
        <v>0</v>
      </c>
      <c r="C208" s="36" t="n">
        <f aca="false">IF(COUNTIFS('1 · BBDD Casos incluidos'!$A$2:$A$29,C$188,'1 · BBDD Casos incluidos'!$AB$2:$AB$29,"*;"&amp;$A208&amp;";*")&gt;0,1,0)</f>
        <v>0</v>
      </c>
      <c r="D208" s="36" t="n">
        <f aca="false">IF(COUNTIFS('1 · BBDD Casos incluidos'!$A$2:$A$29,D$188,'1 · BBDD Casos incluidos'!$AB$2:$AB$29,"*;"&amp;$A208&amp;";*")&gt;0,1,0)</f>
        <v>0</v>
      </c>
      <c r="E208" s="36" t="n">
        <f aca="false">IF(COUNTIFS('1 · BBDD Casos incluidos'!$A$2:$A$29,E$188,'1 · BBDD Casos incluidos'!$AB$2:$AB$29,"*;"&amp;$A208&amp;";*")&gt;0,1,0)</f>
        <v>0</v>
      </c>
      <c r="F208" s="36" t="n">
        <f aca="false">IF(COUNTIFS('1 · BBDD Casos incluidos'!$A$2:$A$29,F$188,'1 · BBDD Casos incluidos'!$AB$2:$AB$29,"*;"&amp;$A208&amp;";*")&gt;0,1,0)</f>
        <v>0</v>
      </c>
      <c r="G208" s="36" t="n">
        <f aca="false">IF(COUNTIFS('1 · BBDD Casos incluidos'!$A$2:$A$29,G$188,'1 · BBDD Casos incluidos'!$AB$2:$AB$29,"*;"&amp;$A208&amp;";*")&gt;0,1,0)</f>
        <v>0</v>
      </c>
      <c r="H208" s="36" t="n">
        <f aca="false">IF(COUNTIFS('1 · BBDD Casos incluidos'!$A$2:$A$29,H$188,'1 · BBDD Casos incluidos'!$AB$2:$AB$29,"*;"&amp;$A208&amp;";*")&gt;0,1,0)</f>
        <v>1</v>
      </c>
      <c r="I208" s="36" t="n">
        <f aca="false">IF(COUNTIFS('1 · BBDD Casos incluidos'!$A$2:$A$29,I$188,'1 · BBDD Casos incluidos'!$AB$2:$AB$29,"*;"&amp;$A208&amp;";*")&gt;0,1,0)</f>
        <v>0</v>
      </c>
      <c r="J208" s="36" t="n">
        <f aca="false">IF(COUNTIFS('1 · BBDD Casos incluidos'!$A$2:$A$29,J$188,'1 · BBDD Casos incluidos'!$AB$2:$AB$29,"*;"&amp;$A208&amp;";*")&gt;0,1,0)</f>
        <v>0</v>
      </c>
      <c r="K208" s="36" t="n">
        <f aca="false">IF(COUNTIFS('1 · BBDD Casos incluidos'!$A$2:$A$29,K$188,'1 · BBDD Casos incluidos'!$AB$2:$AB$29,"*;"&amp;$A208&amp;";*")&gt;0,1,0)</f>
        <v>0</v>
      </c>
      <c r="L208" s="36" t="n">
        <f aca="false">IF(COUNTIFS('1 · BBDD Casos incluidos'!$A$2:$A$29,L$188,'1 · BBDD Casos incluidos'!$AB$2:$AB$29,"*;"&amp;$A208&amp;";*")&gt;0,1,0)</f>
        <v>0</v>
      </c>
      <c r="M208" s="36" t="n">
        <f aca="false">IF(COUNTIFS('1 · BBDD Casos incluidos'!$A$2:$A$29,M$188,'1 · BBDD Casos incluidos'!$AB$2:$AB$29,"*;"&amp;$A208&amp;";*")&gt;0,1,0)</f>
        <v>0</v>
      </c>
      <c r="N208" s="36" t="n">
        <f aca="false">IF(COUNTIFS('1 · BBDD Casos incluidos'!$A$2:$A$29,N$188,'1 · BBDD Casos incluidos'!$AB$2:$AB$29,"*;"&amp;$A208&amp;";*")&gt;0,1,0)</f>
        <v>0</v>
      </c>
      <c r="O208" s="36" t="n">
        <f aca="false">IF(COUNTIFS('1 · BBDD Casos incluidos'!$A$2:$A$29,O$188,'1 · BBDD Casos incluidos'!$AB$2:$AB$29,"*;"&amp;$A208&amp;";*")&gt;0,1,0)</f>
        <v>0</v>
      </c>
      <c r="P208" s="36" t="n">
        <f aca="false">IF(COUNTIFS('1 · BBDD Casos incluidos'!$A$2:$A$29,P$188,'1 · BBDD Casos incluidos'!$AB$2:$AB$29,"*;"&amp;$A208&amp;";*")&gt;0,1,0)</f>
        <v>0</v>
      </c>
      <c r="Q208" s="36" t="n">
        <f aca="false">IF(COUNTIFS('1 · BBDD Casos incluidos'!$A$2:$A$29,Q$188,'1 · BBDD Casos incluidos'!$AB$2:$AB$29,"*;"&amp;$A208&amp;";*")&gt;0,1,0)</f>
        <v>0</v>
      </c>
      <c r="R208" s="36" t="n">
        <f aca="false">IF(COUNTIFS('1 · BBDD Casos incluidos'!$A$2:$A$29,R$188,'1 · BBDD Casos incluidos'!$AB$2:$AB$29,"*;"&amp;$A208&amp;";*")&gt;0,1,0)</f>
        <v>0</v>
      </c>
      <c r="S208" s="36" t="n">
        <f aca="false">IF(COUNTIFS('1 · BBDD Casos incluidos'!$A$2:$A$29,S$188,'1 · BBDD Casos incluidos'!$AB$2:$AB$29,"*;"&amp;$A208&amp;";*")&gt;0,1,0)</f>
        <v>0</v>
      </c>
      <c r="T208" s="36" t="n">
        <f aca="false">IF(COUNTIFS('1 · BBDD Casos incluidos'!$A$2:$A$29,T$188,'1 · BBDD Casos incluidos'!$AB$2:$AB$29,"*;"&amp;$A208&amp;";*")&gt;0,1,0)</f>
        <v>0</v>
      </c>
      <c r="U208" s="36" t="n">
        <f aca="false">IF(COUNTIFS('1 · BBDD Casos incluidos'!$A$2:$A$29,U$188,'1 · BBDD Casos incluidos'!$AB$2:$AB$29,"*;"&amp;$A208&amp;";*")&gt;0,1,0)</f>
        <v>0</v>
      </c>
    </row>
    <row r="209" customFormat="false" ht="15" hidden="false" customHeight="false" outlineLevel="0" collapsed="false">
      <c r="A209" s="6" t="s">
        <v>386</v>
      </c>
      <c r="B209" s="36" t="n">
        <f aca="false">IF(COUNTIFS('1 · BBDD Casos incluidos'!$A$2:$A$29,B$188,'1 · BBDD Casos incluidos'!$AB$2:$AB$29,"*;"&amp;$A209&amp;";*")&gt;0,1,0)</f>
        <v>0</v>
      </c>
      <c r="C209" s="36" t="n">
        <f aca="false">IF(COUNTIFS('1 · BBDD Casos incluidos'!$A$2:$A$29,C$188,'1 · BBDD Casos incluidos'!$AB$2:$AB$29,"*;"&amp;$A209&amp;";*")&gt;0,1,0)</f>
        <v>0</v>
      </c>
      <c r="D209" s="36" t="n">
        <f aca="false">IF(COUNTIFS('1 · BBDD Casos incluidos'!$A$2:$A$29,D$188,'1 · BBDD Casos incluidos'!$AB$2:$AB$29,"*;"&amp;$A209&amp;";*")&gt;0,1,0)</f>
        <v>0</v>
      </c>
      <c r="E209" s="36" t="n">
        <f aca="false">IF(COUNTIFS('1 · BBDD Casos incluidos'!$A$2:$A$29,E$188,'1 · BBDD Casos incluidos'!$AB$2:$AB$29,"*;"&amp;$A209&amp;";*")&gt;0,1,0)</f>
        <v>0</v>
      </c>
      <c r="F209" s="36" t="n">
        <f aca="false">IF(COUNTIFS('1 · BBDD Casos incluidos'!$A$2:$A$29,F$188,'1 · BBDD Casos incluidos'!$AB$2:$AB$29,"*;"&amp;$A209&amp;";*")&gt;0,1,0)</f>
        <v>0</v>
      </c>
      <c r="G209" s="36" t="n">
        <f aca="false">IF(COUNTIFS('1 · BBDD Casos incluidos'!$A$2:$A$29,G$188,'1 · BBDD Casos incluidos'!$AB$2:$AB$29,"*;"&amp;$A209&amp;";*")&gt;0,1,0)</f>
        <v>0</v>
      </c>
      <c r="H209" s="36" t="n">
        <f aca="false">IF(COUNTIFS('1 · BBDD Casos incluidos'!$A$2:$A$29,H$188,'1 · BBDD Casos incluidos'!$AB$2:$AB$29,"*;"&amp;$A209&amp;";*")&gt;0,1,0)</f>
        <v>1</v>
      </c>
      <c r="I209" s="36" t="n">
        <f aca="false">IF(COUNTIFS('1 · BBDD Casos incluidos'!$A$2:$A$29,I$188,'1 · BBDD Casos incluidos'!$AB$2:$AB$29,"*;"&amp;$A209&amp;";*")&gt;0,1,0)</f>
        <v>0</v>
      </c>
      <c r="J209" s="36" t="n">
        <f aca="false">IF(COUNTIFS('1 · BBDD Casos incluidos'!$A$2:$A$29,J$188,'1 · BBDD Casos incluidos'!$AB$2:$AB$29,"*;"&amp;$A209&amp;";*")&gt;0,1,0)</f>
        <v>0</v>
      </c>
      <c r="K209" s="36" t="n">
        <f aca="false">IF(COUNTIFS('1 · BBDD Casos incluidos'!$A$2:$A$29,K$188,'1 · BBDD Casos incluidos'!$AB$2:$AB$29,"*;"&amp;$A209&amp;";*")&gt;0,1,0)</f>
        <v>0</v>
      </c>
      <c r="L209" s="36" t="n">
        <f aca="false">IF(COUNTIFS('1 · BBDD Casos incluidos'!$A$2:$A$29,L$188,'1 · BBDD Casos incluidos'!$AB$2:$AB$29,"*;"&amp;$A209&amp;";*")&gt;0,1,0)</f>
        <v>0</v>
      </c>
      <c r="M209" s="36" t="n">
        <f aca="false">IF(COUNTIFS('1 · BBDD Casos incluidos'!$A$2:$A$29,M$188,'1 · BBDD Casos incluidos'!$AB$2:$AB$29,"*;"&amp;$A209&amp;";*")&gt;0,1,0)</f>
        <v>0</v>
      </c>
      <c r="N209" s="36" t="n">
        <f aca="false">IF(COUNTIFS('1 · BBDD Casos incluidos'!$A$2:$A$29,N$188,'1 · BBDD Casos incluidos'!$AB$2:$AB$29,"*;"&amp;$A209&amp;";*")&gt;0,1,0)</f>
        <v>0</v>
      </c>
      <c r="O209" s="36" t="n">
        <f aca="false">IF(COUNTIFS('1 · BBDD Casos incluidos'!$A$2:$A$29,O$188,'1 · BBDD Casos incluidos'!$AB$2:$AB$29,"*;"&amp;$A209&amp;";*")&gt;0,1,0)</f>
        <v>0</v>
      </c>
      <c r="P209" s="36" t="n">
        <f aca="false">IF(COUNTIFS('1 · BBDD Casos incluidos'!$A$2:$A$29,P$188,'1 · BBDD Casos incluidos'!$AB$2:$AB$29,"*;"&amp;$A209&amp;";*")&gt;0,1,0)</f>
        <v>0</v>
      </c>
      <c r="Q209" s="36" t="n">
        <f aca="false">IF(COUNTIFS('1 · BBDD Casos incluidos'!$A$2:$A$29,Q$188,'1 · BBDD Casos incluidos'!$AB$2:$AB$29,"*;"&amp;$A209&amp;";*")&gt;0,1,0)</f>
        <v>0</v>
      </c>
      <c r="R209" s="36" t="n">
        <f aca="false">IF(COUNTIFS('1 · BBDD Casos incluidos'!$A$2:$A$29,R$188,'1 · BBDD Casos incluidos'!$AB$2:$AB$29,"*;"&amp;$A209&amp;";*")&gt;0,1,0)</f>
        <v>0</v>
      </c>
      <c r="S209" s="36" t="n">
        <f aca="false">IF(COUNTIFS('1 · BBDD Casos incluidos'!$A$2:$A$29,S$188,'1 · BBDD Casos incluidos'!$AB$2:$AB$29,"*;"&amp;$A209&amp;";*")&gt;0,1,0)</f>
        <v>0</v>
      </c>
      <c r="T209" s="36" t="n">
        <f aca="false">IF(COUNTIFS('1 · BBDD Casos incluidos'!$A$2:$A$29,T$188,'1 · BBDD Casos incluidos'!$AB$2:$AB$29,"*;"&amp;$A209&amp;";*")&gt;0,1,0)</f>
        <v>0</v>
      </c>
      <c r="U209" s="36" t="n">
        <f aca="false">IF(COUNTIFS('1 · BBDD Casos incluidos'!$A$2:$A$29,U$188,'1 · BBDD Casos incluidos'!$AB$2:$AB$29,"*;"&amp;$A209&amp;";*")&gt;0,1,0)</f>
        <v>0</v>
      </c>
    </row>
    <row r="210" customFormat="false" ht="15" hidden="false" customHeight="false" outlineLevel="0" collapsed="false">
      <c r="A210" s="6" t="s">
        <v>387</v>
      </c>
      <c r="B210" s="36" t="n">
        <f aca="false">IF(COUNTIFS('1 · BBDD Casos incluidos'!$A$2:$A$29,B$188,'1 · BBDD Casos incluidos'!$AB$2:$AB$29,"*;"&amp;$A210&amp;";*")&gt;0,1,0)</f>
        <v>0</v>
      </c>
      <c r="C210" s="36" t="n">
        <f aca="false">IF(COUNTIFS('1 · BBDD Casos incluidos'!$A$2:$A$29,C$188,'1 · BBDD Casos incluidos'!$AB$2:$AB$29,"*;"&amp;$A210&amp;";*")&gt;0,1,0)</f>
        <v>0</v>
      </c>
      <c r="D210" s="36" t="n">
        <f aca="false">IF(COUNTIFS('1 · BBDD Casos incluidos'!$A$2:$A$29,D$188,'1 · BBDD Casos incluidos'!$AB$2:$AB$29,"*;"&amp;$A210&amp;";*")&gt;0,1,0)</f>
        <v>0</v>
      </c>
      <c r="E210" s="36" t="n">
        <f aca="false">IF(COUNTIFS('1 · BBDD Casos incluidos'!$A$2:$A$29,E$188,'1 · BBDD Casos incluidos'!$AB$2:$AB$29,"*;"&amp;$A210&amp;";*")&gt;0,1,0)</f>
        <v>0</v>
      </c>
      <c r="F210" s="36" t="n">
        <f aca="false">IF(COUNTIFS('1 · BBDD Casos incluidos'!$A$2:$A$29,F$188,'1 · BBDD Casos incluidos'!$AB$2:$AB$29,"*;"&amp;$A210&amp;";*")&gt;0,1,0)</f>
        <v>0</v>
      </c>
      <c r="G210" s="36" t="n">
        <f aca="false">IF(COUNTIFS('1 · BBDD Casos incluidos'!$A$2:$A$29,G$188,'1 · BBDD Casos incluidos'!$AB$2:$AB$29,"*;"&amp;$A210&amp;";*")&gt;0,1,0)</f>
        <v>0</v>
      </c>
      <c r="H210" s="36" t="n">
        <f aca="false">IF(COUNTIFS('1 · BBDD Casos incluidos'!$A$2:$A$29,H$188,'1 · BBDD Casos incluidos'!$AB$2:$AB$29,"*;"&amp;$A210&amp;";*")&gt;0,1,0)</f>
        <v>1</v>
      </c>
      <c r="I210" s="36" t="n">
        <f aca="false">IF(COUNTIFS('1 · BBDD Casos incluidos'!$A$2:$A$29,I$188,'1 · BBDD Casos incluidos'!$AB$2:$AB$29,"*;"&amp;$A210&amp;";*")&gt;0,1,0)</f>
        <v>0</v>
      </c>
      <c r="J210" s="36" t="n">
        <f aca="false">IF(COUNTIFS('1 · BBDD Casos incluidos'!$A$2:$A$29,J$188,'1 · BBDD Casos incluidos'!$AB$2:$AB$29,"*;"&amp;$A210&amp;";*")&gt;0,1,0)</f>
        <v>0</v>
      </c>
      <c r="K210" s="36" t="n">
        <f aca="false">IF(COUNTIFS('1 · BBDD Casos incluidos'!$A$2:$A$29,K$188,'1 · BBDD Casos incluidos'!$AB$2:$AB$29,"*;"&amp;$A210&amp;";*")&gt;0,1,0)</f>
        <v>0</v>
      </c>
      <c r="L210" s="36" t="n">
        <f aca="false">IF(COUNTIFS('1 · BBDD Casos incluidos'!$A$2:$A$29,L$188,'1 · BBDD Casos incluidos'!$AB$2:$AB$29,"*;"&amp;$A210&amp;";*")&gt;0,1,0)</f>
        <v>0</v>
      </c>
      <c r="M210" s="36" t="n">
        <f aca="false">IF(COUNTIFS('1 · BBDD Casos incluidos'!$A$2:$A$29,M$188,'1 · BBDD Casos incluidos'!$AB$2:$AB$29,"*;"&amp;$A210&amp;";*")&gt;0,1,0)</f>
        <v>0</v>
      </c>
      <c r="N210" s="36" t="n">
        <f aca="false">IF(COUNTIFS('1 · BBDD Casos incluidos'!$A$2:$A$29,N$188,'1 · BBDD Casos incluidos'!$AB$2:$AB$29,"*;"&amp;$A210&amp;";*")&gt;0,1,0)</f>
        <v>0</v>
      </c>
      <c r="O210" s="36" t="n">
        <f aca="false">IF(COUNTIFS('1 · BBDD Casos incluidos'!$A$2:$A$29,O$188,'1 · BBDD Casos incluidos'!$AB$2:$AB$29,"*;"&amp;$A210&amp;";*")&gt;0,1,0)</f>
        <v>0</v>
      </c>
      <c r="P210" s="36" t="n">
        <f aca="false">IF(COUNTIFS('1 · BBDD Casos incluidos'!$A$2:$A$29,P$188,'1 · BBDD Casos incluidos'!$AB$2:$AB$29,"*;"&amp;$A210&amp;";*")&gt;0,1,0)</f>
        <v>0</v>
      </c>
      <c r="Q210" s="36" t="n">
        <f aca="false">IF(COUNTIFS('1 · BBDD Casos incluidos'!$A$2:$A$29,Q$188,'1 · BBDD Casos incluidos'!$AB$2:$AB$29,"*;"&amp;$A210&amp;";*")&gt;0,1,0)</f>
        <v>0</v>
      </c>
      <c r="R210" s="36" t="n">
        <f aca="false">IF(COUNTIFS('1 · BBDD Casos incluidos'!$A$2:$A$29,R$188,'1 · BBDD Casos incluidos'!$AB$2:$AB$29,"*;"&amp;$A210&amp;";*")&gt;0,1,0)</f>
        <v>0</v>
      </c>
      <c r="S210" s="36" t="n">
        <f aca="false">IF(COUNTIFS('1 · BBDD Casos incluidos'!$A$2:$A$29,S$188,'1 · BBDD Casos incluidos'!$AB$2:$AB$29,"*;"&amp;$A210&amp;";*")&gt;0,1,0)</f>
        <v>0</v>
      </c>
      <c r="T210" s="36" t="n">
        <f aca="false">IF(COUNTIFS('1 · BBDD Casos incluidos'!$A$2:$A$29,T$188,'1 · BBDD Casos incluidos'!$AB$2:$AB$29,"*;"&amp;$A210&amp;";*")&gt;0,1,0)</f>
        <v>0</v>
      </c>
      <c r="U210" s="36" t="n">
        <f aca="false">IF(COUNTIFS('1 · BBDD Casos incluidos'!$A$2:$A$29,U$188,'1 · BBDD Casos incluidos'!$AB$2:$AB$29,"*;"&amp;$A210&amp;";*")&gt;0,1,0)</f>
        <v>0</v>
      </c>
    </row>
    <row r="211" customFormat="false" ht="15" hidden="false" customHeight="false" outlineLevel="0" collapsed="false">
      <c r="A211" s="6" t="s">
        <v>388</v>
      </c>
      <c r="B211" s="36" t="n">
        <f aca="false">IF(COUNTIFS('1 · BBDD Casos incluidos'!$A$2:$A$29,B$188,'1 · BBDD Casos incluidos'!$AB$2:$AB$29,"*;"&amp;$A211&amp;";*")&gt;0,1,0)</f>
        <v>0</v>
      </c>
      <c r="C211" s="36" t="n">
        <f aca="false">IF(COUNTIFS('1 · BBDD Casos incluidos'!$A$2:$A$29,C$188,'1 · BBDD Casos incluidos'!$AB$2:$AB$29,"*;"&amp;$A211&amp;";*")&gt;0,1,0)</f>
        <v>0</v>
      </c>
      <c r="D211" s="36" t="n">
        <f aca="false">IF(COUNTIFS('1 · BBDD Casos incluidos'!$A$2:$A$29,D$188,'1 · BBDD Casos incluidos'!$AB$2:$AB$29,"*;"&amp;$A211&amp;";*")&gt;0,1,0)</f>
        <v>0</v>
      </c>
      <c r="E211" s="36" t="n">
        <f aca="false">IF(COUNTIFS('1 · BBDD Casos incluidos'!$A$2:$A$29,E$188,'1 · BBDD Casos incluidos'!$AB$2:$AB$29,"*;"&amp;$A211&amp;";*")&gt;0,1,0)</f>
        <v>0</v>
      </c>
      <c r="F211" s="36" t="n">
        <f aca="false">IF(COUNTIFS('1 · BBDD Casos incluidos'!$A$2:$A$29,F$188,'1 · BBDD Casos incluidos'!$AB$2:$AB$29,"*;"&amp;$A211&amp;";*")&gt;0,1,0)</f>
        <v>0</v>
      </c>
      <c r="G211" s="36" t="n">
        <f aca="false">IF(COUNTIFS('1 · BBDD Casos incluidos'!$A$2:$A$29,G$188,'1 · BBDD Casos incluidos'!$AB$2:$AB$29,"*;"&amp;$A211&amp;";*")&gt;0,1,0)</f>
        <v>0</v>
      </c>
      <c r="H211" s="36" t="n">
        <f aca="false">IF(COUNTIFS('1 · BBDD Casos incluidos'!$A$2:$A$29,H$188,'1 · BBDD Casos incluidos'!$AB$2:$AB$29,"*;"&amp;$A211&amp;";*")&gt;0,1,0)</f>
        <v>0</v>
      </c>
      <c r="I211" s="36" t="n">
        <f aca="false">IF(COUNTIFS('1 · BBDD Casos incluidos'!$A$2:$A$29,I$188,'1 · BBDD Casos incluidos'!$AB$2:$AB$29,"*;"&amp;$A211&amp;";*")&gt;0,1,0)</f>
        <v>0</v>
      </c>
      <c r="J211" s="36" t="n">
        <f aca="false">IF(COUNTIFS('1 · BBDD Casos incluidos'!$A$2:$A$29,J$188,'1 · BBDD Casos incluidos'!$AB$2:$AB$29,"*;"&amp;$A211&amp;";*")&gt;0,1,0)</f>
        <v>0</v>
      </c>
      <c r="K211" s="36" t="n">
        <f aca="false">IF(COUNTIFS('1 · BBDD Casos incluidos'!$A$2:$A$29,K$188,'1 · BBDD Casos incluidos'!$AB$2:$AB$29,"*;"&amp;$A211&amp;";*")&gt;0,1,0)</f>
        <v>0</v>
      </c>
      <c r="L211" s="36" t="n">
        <f aca="false">IF(COUNTIFS('1 · BBDD Casos incluidos'!$A$2:$A$29,L$188,'1 · BBDD Casos incluidos'!$AB$2:$AB$29,"*;"&amp;$A211&amp;";*")&gt;0,1,0)</f>
        <v>0</v>
      </c>
      <c r="M211" s="36" t="n">
        <f aca="false">IF(COUNTIFS('1 · BBDD Casos incluidos'!$A$2:$A$29,M$188,'1 · BBDD Casos incluidos'!$AB$2:$AB$29,"*;"&amp;$A211&amp;";*")&gt;0,1,0)</f>
        <v>0</v>
      </c>
      <c r="N211" s="36" t="n">
        <f aca="false">IF(COUNTIFS('1 · BBDD Casos incluidos'!$A$2:$A$29,N$188,'1 · BBDD Casos incluidos'!$AB$2:$AB$29,"*;"&amp;$A211&amp;";*")&gt;0,1,0)</f>
        <v>1</v>
      </c>
      <c r="O211" s="36" t="n">
        <f aca="false">IF(COUNTIFS('1 · BBDD Casos incluidos'!$A$2:$A$29,O$188,'1 · BBDD Casos incluidos'!$AB$2:$AB$29,"*;"&amp;$A211&amp;";*")&gt;0,1,0)</f>
        <v>0</v>
      </c>
      <c r="P211" s="36" t="n">
        <f aca="false">IF(COUNTIFS('1 · BBDD Casos incluidos'!$A$2:$A$29,P$188,'1 · BBDD Casos incluidos'!$AB$2:$AB$29,"*;"&amp;$A211&amp;";*")&gt;0,1,0)</f>
        <v>0</v>
      </c>
      <c r="Q211" s="36" t="n">
        <f aca="false">IF(COUNTIFS('1 · BBDD Casos incluidos'!$A$2:$A$29,Q$188,'1 · BBDD Casos incluidos'!$AB$2:$AB$29,"*;"&amp;$A211&amp;";*")&gt;0,1,0)</f>
        <v>0</v>
      </c>
      <c r="R211" s="36" t="n">
        <f aca="false">IF(COUNTIFS('1 · BBDD Casos incluidos'!$A$2:$A$29,R$188,'1 · BBDD Casos incluidos'!$AB$2:$AB$29,"*;"&amp;$A211&amp;";*")&gt;0,1,0)</f>
        <v>0</v>
      </c>
      <c r="S211" s="36" t="n">
        <f aca="false">IF(COUNTIFS('1 · BBDD Casos incluidos'!$A$2:$A$29,S$188,'1 · BBDD Casos incluidos'!$AB$2:$AB$29,"*;"&amp;$A211&amp;";*")&gt;0,1,0)</f>
        <v>0</v>
      </c>
      <c r="T211" s="36" t="n">
        <f aca="false">IF(COUNTIFS('1 · BBDD Casos incluidos'!$A$2:$A$29,T$188,'1 · BBDD Casos incluidos'!$AB$2:$AB$29,"*;"&amp;$A211&amp;";*")&gt;0,1,0)</f>
        <v>0</v>
      </c>
      <c r="U211" s="36" t="n">
        <f aca="false">IF(COUNTIFS('1 · BBDD Casos incluidos'!$A$2:$A$29,U$188,'1 · BBDD Casos incluidos'!$AB$2:$AB$29,"*;"&amp;$A211&amp;";*")&gt;0,1,0)</f>
        <v>0</v>
      </c>
    </row>
    <row r="212" customFormat="false" ht="15" hidden="false" customHeight="false" outlineLevel="0" collapsed="false">
      <c r="A212" s="6" t="s">
        <v>389</v>
      </c>
      <c r="B212" s="36" t="n">
        <f aca="false">IF(COUNTIFS('1 · BBDD Casos incluidos'!$A$2:$A$29,B$188,'1 · BBDD Casos incluidos'!$AB$2:$AB$29,"*;"&amp;$A212&amp;";*")&gt;0,1,0)</f>
        <v>0</v>
      </c>
      <c r="C212" s="36" t="n">
        <f aca="false">IF(COUNTIFS('1 · BBDD Casos incluidos'!$A$2:$A$29,C$188,'1 · BBDD Casos incluidos'!$AB$2:$AB$29,"*;"&amp;$A212&amp;";*")&gt;0,1,0)</f>
        <v>0</v>
      </c>
      <c r="D212" s="36" t="n">
        <f aca="false">IF(COUNTIFS('1 · BBDD Casos incluidos'!$A$2:$A$29,D$188,'1 · BBDD Casos incluidos'!$AB$2:$AB$29,"*;"&amp;$A212&amp;";*")&gt;0,1,0)</f>
        <v>0</v>
      </c>
      <c r="E212" s="36" t="n">
        <f aca="false">IF(COUNTIFS('1 · BBDD Casos incluidos'!$A$2:$A$29,E$188,'1 · BBDD Casos incluidos'!$AB$2:$AB$29,"*;"&amp;$A212&amp;";*")&gt;0,1,0)</f>
        <v>0</v>
      </c>
      <c r="F212" s="36" t="n">
        <f aca="false">IF(COUNTIFS('1 · BBDD Casos incluidos'!$A$2:$A$29,F$188,'1 · BBDD Casos incluidos'!$AB$2:$AB$29,"*;"&amp;$A212&amp;";*")&gt;0,1,0)</f>
        <v>0</v>
      </c>
      <c r="G212" s="36" t="n">
        <f aca="false">IF(COUNTIFS('1 · BBDD Casos incluidos'!$A$2:$A$29,G$188,'1 · BBDD Casos incluidos'!$AB$2:$AB$29,"*;"&amp;$A212&amp;";*")&gt;0,1,0)</f>
        <v>0</v>
      </c>
      <c r="H212" s="36" t="n">
        <f aca="false">IF(COUNTIFS('1 · BBDD Casos incluidos'!$A$2:$A$29,H$188,'1 · BBDD Casos incluidos'!$AB$2:$AB$29,"*;"&amp;$A212&amp;";*")&gt;0,1,0)</f>
        <v>0</v>
      </c>
      <c r="I212" s="36" t="n">
        <f aca="false">IF(COUNTIFS('1 · BBDD Casos incluidos'!$A$2:$A$29,I$188,'1 · BBDD Casos incluidos'!$AB$2:$AB$29,"*;"&amp;$A212&amp;";*")&gt;0,1,0)</f>
        <v>0</v>
      </c>
      <c r="J212" s="36" t="n">
        <f aca="false">IF(COUNTIFS('1 · BBDD Casos incluidos'!$A$2:$A$29,J$188,'1 · BBDD Casos incluidos'!$AB$2:$AB$29,"*;"&amp;$A212&amp;";*")&gt;0,1,0)</f>
        <v>0</v>
      </c>
      <c r="K212" s="36" t="n">
        <f aca="false">IF(COUNTIFS('1 · BBDD Casos incluidos'!$A$2:$A$29,K$188,'1 · BBDD Casos incluidos'!$AB$2:$AB$29,"*;"&amp;$A212&amp;";*")&gt;0,1,0)</f>
        <v>0</v>
      </c>
      <c r="L212" s="36" t="n">
        <f aca="false">IF(COUNTIFS('1 · BBDD Casos incluidos'!$A$2:$A$29,L$188,'1 · BBDD Casos incluidos'!$AB$2:$AB$29,"*;"&amp;$A212&amp;";*")&gt;0,1,0)</f>
        <v>0</v>
      </c>
      <c r="M212" s="36" t="n">
        <f aca="false">IF(COUNTIFS('1 · BBDD Casos incluidos'!$A$2:$A$29,M$188,'1 · BBDD Casos incluidos'!$AB$2:$AB$29,"*;"&amp;$A212&amp;";*")&gt;0,1,0)</f>
        <v>0</v>
      </c>
      <c r="N212" s="36" t="n">
        <f aca="false">IF(COUNTIFS('1 · BBDD Casos incluidos'!$A$2:$A$29,N$188,'1 · BBDD Casos incluidos'!$AB$2:$AB$29,"*;"&amp;$A212&amp;";*")&gt;0,1,0)</f>
        <v>0</v>
      </c>
      <c r="O212" s="36" t="n">
        <f aca="false">IF(COUNTIFS('1 · BBDD Casos incluidos'!$A$2:$A$29,O$188,'1 · BBDD Casos incluidos'!$AB$2:$AB$29,"*;"&amp;$A212&amp;";*")&gt;0,1,0)</f>
        <v>0</v>
      </c>
      <c r="P212" s="36" t="n">
        <f aca="false">IF(COUNTIFS('1 · BBDD Casos incluidos'!$A$2:$A$29,P$188,'1 · BBDD Casos incluidos'!$AB$2:$AB$29,"*;"&amp;$A212&amp;";*")&gt;0,1,0)</f>
        <v>0</v>
      </c>
      <c r="Q212" s="36" t="n">
        <f aca="false">IF(COUNTIFS('1 · BBDD Casos incluidos'!$A$2:$A$29,Q$188,'1 · BBDD Casos incluidos'!$AB$2:$AB$29,"*;"&amp;$A212&amp;";*")&gt;0,1,0)</f>
        <v>0</v>
      </c>
      <c r="R212" s="36" t="n">
        <f aca="false">IF(COUNTIFS('1 · BBDD Casos incluidos'!$A$2:$A$29,R$188,'1 · BBDD Casos incluidos'!$AB$2:$AB$29,"*;"&amp;$A212&amp;";*")&gt;0,1,0)</f>
        <v>0</v>
      </c>
      <c r="S212" s="36" t="n">
        <f aca="false">IF(COUNTIFS('1 · BBDD Casos incluidos'!$A$2:$A$29,S$188,'1 · BBDD Casos incluidos'!$AB$2:$AB$29,"*;"&amp;$A212&amp;";*")&gt;0,1,0)</f>
        <v>0</v>
      </c>
      <c r="T212" s="36" t="n">
        <f aca="false">IF(COUNTIFS('1 · BBDD Casos incluidos'!$A$2:$A$29,T$188,'1 · BBDD Casos incluidos'!$AB$2:$AB$29,"*;"&amp;$A212&amp;";*")&gt;0,1,0)</f>
        <v>1</v>
      </c>
      <c r="U212" s="36" t="n">
        <f aca="false">IF(COUNTIFS('1 · BBDD Casos incluidos'!$A$2:$A$29,U$188,'1 · BBDD Casos incluidos'!$AB$2:$AB$29,"*;"&amp;$A212&amp;";*")&gt;0,1,0)</f>
        <v>0</v>
      </c>
    </row>
    <row r="213" customFormat="false" ht="15" hidden="false" customHeight="false" outlineLevel="0" collapsed="false">
      <c r="A213" s="6" t="s">
        <v>390</v>
      </c>
      <c r="B213" s="36" t="n">
        <f aca="false">IF(COUNTIFS('1 · BBDD Casos incluidos'!$A$2:$A$29,B$188,'1 · BBDD Casos incluidos'!$AB$2:$AB$29,"*;"&amp;$A213&amp;";*")&gt;0,1,0)</f>
        <v>0</v>
      </c>
      <c r="C213" s="36" t="n">
        <f aca="false">IF(COUNTIFS('1 · BBDD Casos incluidos'!$A$2:$A$29,C$188,'1 · BBDD Casos incluidos'!$AB$2:$AB$29,"*;"&amp;$A213&amp;";*")&gt;0,1,0)</f>
        <v>0</v>
      </c>
      <c r="D213" s="36" t="n">
        <f aca="false">IF(COUNTIFS('1 · BBDD Casos incluidos'!$A$2:$A$29,D$188,'1 · BBDD Casos incluidos'!$AB$2:$AB$29,"*;"&amp;$A213&amp;";*")&gt;0,1,0)</f>
        <v>0</v>
      </c>
      <c r="E213" s="36" t="n">
        <f aca="false">IF(COUNTIFS('1 · BBDD Casos incluidos'!$A$2:$A$29,E$188,'1 · BBDD Casos incluidos'!$AB$2:$AB$29,"*;"&amp;$A213&amp;";*")&gt;0,1,0)</f>
        <v>0</v>
      </c>
      <c r="F213" s="36" t="n">
        <f aca="false">IF(COUNTIFS('1 · BBDD Casos incluidos'!$A$2:$A$29,F$188,'1 · BBDD Casos incluidos'!$AB$2:$AB$29,"*;"&amp;$A213&amp;";*")&gt;0,1,0)</f>
        <v>0</v>
      </c>
      <c r="G213" s="36" t="n">
        <f aca="false">IF(COUNTIFS('1 · BBDD Casos incluidos'!$A$2:$A$29,G$188,'1 · BBDD Casos incluidos'!$AB$2:$AB$29,"*;"&amp;$A213&amp;";*")&gt;0,1,0)</f>
        <v>0</v>
      </c>
      <c r="H213" s="36" t="n">
        <f aca="false">IF(COUNTIFS('1 · BBDD Casos incluidos'!$A$2:$A$29,H$188,'1 · BBDD Casos incluidos'!$AB$2:$AB$29,"*;"&amp;$A213&amp;";*")&gt;0,1,0)</f>
        <v>0</v>
      </c>
      <c r="I213" s="36" t="n">
        <f aca="false">IF(COUNTIFS('1 · BBDD Casos incluidos'!$A$2:$A$29,I$188,'1 · BBDD Casos incluidos'!$AB$2:$AB$29,"*;"&amp;$A213&amp;";*")&gt;0,1,0)</f>
        <v>0</v>
      </c>
      <c r="J213" s="36" t="n">
        <f aca="false">IF(COUNTIFS('1 · BBDD Casos incluidos'!$A$2:$A$29,J$188,'1 · BBDD Casos incluidos'!$AB$2:$AB$29,"*;"&amp;$A213&amp;";*")&gt;0,1,0)</f>
        <v>0</v>
      </c>
      <c r="K213" s="36" t="n">
        <f aca="false">IF(COUNTIFS('1 · BBDD Casos incluidos'!$A$2:$A$29,K$188,'1 · BBDD Casos incluidos'!$AB$2:$AB$29,"*;"&amp;$A213&amp;";*")&gt;0,1,0)</f>
        <v>0</v>
      </c>
      <c r="L213" s="36" t="n">
        <f aca="false">IF(COUNTIFS('1 · BBDD Casos incluidos'!$A$2:$A$29,L$188,'1 · BBDD Casos incluidos'!$AB$2:$AB$29,"*;"&amp;$A213&amp;";*")&gt;0,1,0)</f>
        <v>0</v>
      </c>
      <c r="M213" s="36" t="n">
        <f aca="false">IF(COUNTIFS('1 · BBDD Casos incluidos'!$A$2:$A$29,M$188,'1 · BBDD Casos incluidos'!$AB$2:$AB$29,"*;"&amp;$A213&amp;";*")&gt;0,1,0)</f>
        <v>0</v>
      </c>
      <c r="N213" s="36" t="n">
        <f aca="false">IF(COUNTIFS('1 · BBDD Casos incluidos'!$A$2:$A$29,N$188,'1 · BBDD Casos incluidos'!$AB$2:$AB$29,"*;"&amp;$A213&amp;";*")&gt;0,1,0)</f>
        <v>0</v>
      </c>
      <c r="O213" s="36" t="n">
        <f aca="false">IF(COUNTIFS('1 · BBDD Casos incluidos'!$A$2:$A$29,O$188,'1 · BBDD Casos incluidos'!$AB$2:$AB$29,"*;"&amp;$A213&amp;";*")&gt;0,1,0)</f>
        <v>0</v>
      </c>
      <c r="P213" s="36" t="n">
        <f aca="false">IF(COUNTIFS('1 · BBDD Casos incluidos'!$A$2:$A$29,P$188,'1 · BBDD Casos incluidos'!$AB$2:$AB$29,"*;"&amp;$A213&amp;";*")&gt;0,1,0)</f>
        <v>0</v>
      </c>
      <c r="Q213" s="36" t="n">
        <f aca="false">IF(COUNTIFS('1 · BBDD Casos incluidos'!$A$2:$A$29,Q$188,'1 · BBDD Casos incluidos'!$AB$2:$AB$29,"*;"&amp;$A213&amp;";*")&gt;0,1,0)</f>
        <v>0</v>
      </c>
      <c r="R213" s="36" t="n">
        <f aca="false">IF(COUNTIFS('1 · BBDD Casos incluidos'!$A$2:$A$29,R$188,'1 · BBDD Casos incluidos'!$AB$2:$AB$29,"*;"&amp;$A213&amp;";*")&gt;0,1,0)</f>
        <v>0</v>
      </c>
      <c r="S213" s="36" t="n">
        <f aca="false">IF(COUNTIFS('1 · BBDD Casos incluidos'!$A$2:$A$29,S$188,'1 · BBDD Casos incluidos'!$AB$2:$AB$29,"*;"&amp;$A213&amp;";*")&gt;0,1,0)</f>
        <v>0</v>
      </c>
      <c r="T213" s="36" t="n">
        <f aca="false">IF(COUNTIFS('1 · BBDD Casos incluidos'!$A$2:$A$29,T$188,'1 · BBDD Casos incluidos'!$AB$2:$AB$29,"*;"&amp;$A213&amp;";*")&gt;0,1,0)</f>
        <v>1</v>
      </c>
      <c r="U213" s="36" t="n">
        <f aca="false">IF(COUNTIFS('1 · BBDD Casos incluidos'!$A$2:$A$29,U$188,'1 · BBDD Casos incluidos'!$AB$2:$AB$29,"*;"&amp;$A213&amp;";*")&gt;0,1,0)</f>
        <v>1</v>
      </c>
    </row>
    <row r="214" customFormat="false" ht="15" hidden="false" customHeight="false" outlineLevel="0" collapsed="false">
      <c r="A214" s="37" t="s">
        <v>391</v>
      </c>
      <c r="B214" s="38" t="n">
        <f aca="false">SUM(B189:B213)</f>
        <v>0</v>
      </c>
      <c r="C214" s="38" t="n">
        <f aca="false">SUM(C189:C213)</f>
        <v>1</v>
      </c>
      <c r="D214" s="38" t="n">
        <f aca="false">SUM(D189:D213)</f>
        <v>11</v>
      </c>
      <c r="E214" s="38" t="n">
        <f aca="false">SUM(E189:E213)</f>
        <v>11</v>
      </c>
      <c r="F214" s="38" t="n">
        <f aca="false">SUM(F189:F213)</f>
        <v>5</v>
      </c>
      <c r="G214" s="38" t="n">
        <f aca="false">SUM(G189:G213)</f>
        <v>0</v>
      </c>
      <c r="H214" s="38" t="n">
        <f aca="false">SUM(H189:H213)</f>
        <v>4</v>
      </c>
      <c r="I214" s="38" t="n">
        <f aca="false">SUM(I189:I213)</f>
        <v>0</v>
      </c>
      <c r="J214" s="38" t="n">
        <f aca="false">SUM(J189:J213)</f>
        <v>1</v>
      </c>
      <c r="K214" s="38" t="n">
        <f aca="false">SUM(K189:K213)</f>
        <v>2</v>
      </c>
      <c r="L214" s="38" t="n">
        <f aca="false">SUM(L189:L213)</f>
        <v>0</v>
      </c>
      <c r="M214" s="38" t="n">
        <f aca="false">SUM(M189:M213)</f>
        <v>0</v>
      </c>
      <c r="N214" s="38" t="n">
        <f aca="false">SUM(N189:N213)</f>
        <v>2</v>
      </c>
      <c r="O214" s="38" t="n">
        <f aca="false">SUM(O189:O213)</f>
        <v>0</v>
      </c>
      <c r="P214" s="38" t="n">
        <f aca="false">SUM(P189:P213)</f>
        <v>2</v>
      </c>
      <c r="Q214" s="38" t="n">
        <f aca="false">SUM(Q189:Q213)</f>
        <v>0</v>
      </c>
      <c r="R214" s="38" t="n">
        <f aca="false">SUM(R189:R213)</f>
        <v>0</v>
      </c>
      <c r="S214" s="38" t="n">
        <f aca="false">SUM(S189:S213)</f>
        <v>0</v>
      </c>
      <c r="T214" s="38" t="n">
        <f aca="false">SUM(T189:T213)</f>
        <v>2</v>
      </c>
      <c r="U214" s="38" t="n">
        <f aca="false">SUM(U189:U213)</f>
        <v>1</v>
      </c>
    </row>
    <row r="217" customFormat="false" ht="15" hidden="false" customHeight="false" outlineLevel="0" collapsed="false">
      <c r="A217" s="17" t="s">
        <v>392</v>
      </c>
    </row>
    <row r="218" customFormat="false" ht="27.75" hidden="false" customHeight="true" outlineLevel="0" collapsed="false">
      <c r="A218" s="18" t="s">
        <v>393</v>
      </c>
      <c r="B218" s="18"/>
      <c r="C218" s="18"/>
      <c r="D218" s="18"/>
      <c r="E218" s="18"/>
      <c r="F218" s="18"/>
      <c r="G218" s="18"/>
      <c r="H218" s="18"/>
      <c r="I218" s="18"/>
      <c r="J218" s="18"/>
      <c r="K218" s="18"/>
      <c r="L218" s="18"/>
    </row>
    <row r="219" customFormat="false" ht="27.75" hidden="false" customHeight="true" outlineLevel="0" collapsed="false">
      <c r="A219" s="18" t="s">
        <v>394</v>
      </c>
      <c r="B219" s="18"/>
      <c r="C219" s="18"/>
      <c r="D219" s="18"/>
      <c r="E219" s="18"/>
      <c r="F219" s="18"/>
      <c r="G219" s="18"/>
      <c r="H219" s="18"/>
      <c r="I219" s="18"/>
      <c r="J219" s="18"/>
      <c r="K219" s="18"/>
      <c r="L219" s="18"/>
    </row>
    <row r="220" customFormat="false" ht="27.75" hidden="false" customHeight="true" outlineLevel="0" collapsed="false">
      <c r="A220" s="18" t="s">
        <v>395</v>
      </c>
      <c r="B220" s="18"/>
      <c r="C220" s="18"/>
      <c r="D220" s="18"/>
      <c r="E220" s="18"/>
      <c r="F220" s="18"/>
      <c r="G220" s="18"/>
      <c r="H220" s="18"/>
      <c r="I220" s="18"/>
      <c r="J220" s="18"/>
      <c r="K220" s="18"/>
      <c r="L220" s="18"/>
    </row>
    <row r="221" customFormat="false" ht="27.75" hidden="false" customHeight="true" outlineLevel="0" collapsed="false">
      <c r="A221" s="18" t="s">
        <v>396</v>
      </c>
      <c r="B221" s="18"/>
      <c r="C221" s="18"/>
      <c r="D221" s="18"/>
      <c r="E221" s="18"/>
      <c r="F221" s="18"/>
      <c r="G221" s="18"/>
      <c r="H221" s="18"/>
      <c r="I221" s="18"/>
      <c r="J221" s="18"/>
      <c r="K221" s="18"/>
      <c r="L221" s="18"/>
    </row>
    <row r="222" customFormat="false" ht="27.75" hidden="false" customHeight="true" outlineLevel="0" collapsed="false">
      <c r="A222" s="18" t="s">
        <v>397</v>
      </c>
      <c r="B222" s="18"/>
      <c r="C222" s="18"/>
      <c r="D222" s="18"/>
      <c r="E222" s="18"/>
      <c r="F222" s="18"/>
      <c r="G222" s="18"/>
      <c r="H222" s="18"/>
      <c r="I222" s="18"/>
      <c r="J222" s="18"/>
      <c r="K222" s="18"/>
      <c r="L222" s="18"/>
    </row>
    <row r="223" customFormat="false" ht="27.75" hidden="false" customHeight="true" outlineLevel="0" collapsed="false">
      <c r="A223" s="18" t="s">
        <v>398</v>
      </c>
      <c r="B223" s="18"/>
      <c r="C223" s="18"/>
      <c r="D223" s="18"/>
      <c r="E223" s="18"/>
      <c r="F223" s="18"/>
      <c r="G223" s="18"/>
      <c r="H223" s="18"/>
      <c r="I223" s="18"/>
      <c r="J223" s="18"/>
      <c r="K223" s="18"/>
      <c r="L223" s="18"/>
    </row>
    <row r="224" customFormat="false" ht="27.75" hidden="false" customHeight="true" outlineLevel="0" collapsed="false">
      <c r="A224" s="18" t="s">
        <v>399</v>
      </c>
      <c r="B224" s="18"/>
      <c r="C224" s="18"/>
      <c r="D224" s="18"/>
      <c r="E224" s="18"/>
      <c r="F224" s="18"/>
      <c r="G224" s="18"/>
      <c r="H224" s="18"/>
      <c r="I224" s="18"/>
      <c r="J224" s="18"/>
      <c r="K224" s="18"/>
      <c r="L224" s="18"/>
    </row>
  </sheetData>
  <mergeCells count="7">
    <mergeCell ref="A218:L218"/>
    <mergeCell ref="A219:L219"/>
    <mergeCell ref="A220:L220"/>
    <mergeCell ref="A221:L221"/>
    <mergeCell ref="A222:L222"/>
    <mergeCell ref="A223:L223"/>
    <mergeCell ref="A224:L2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2026-07-18T12:13:23Z</dcterms:created>
  <dc:creator>openpyxl</dc:creator>
  <dc:description/>
  <dc:language>en-US</dc:language>
  <cp:lastModifiedBy/>
  <dcterms:modified xsi:type="dcterms:W3CDTF">2026-07-18T12:13:23Z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
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ión" sheetId="1" state="visible" r:id="rId1"/>
  </sheets>
  <definedNames>
    <definedName name="_xlnm._FilterDatabase" localSheetId="0" hidden="1">'Validación'!$A$1:$L$52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7F6000"/>
    </font>
  </fonts>
  <fills count="4">
    <fill>
      <patternFill/>
    </fill>
    <fill>
      <patternFill patternType="gray125"/>
    </fill>
    <fill>
      <patternFill patternType="solid">
        <fgColor rgb="001F4E78"/>
      </patternFill>
    </fill>
    <fill>
      <patternFill patternType="solid">
        <fgColor rgb="00FFE69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xf>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6" customWidth="1" min="2" max="2"/>
    <col width="38" customWidth="1" min="3" max="3"/>
    <col width="22" customWidth="1" min="4" max="4"/>
    <col width="58" customWidth="1" min="5" max="5"/>
    <col width="36" customWidth="1" min="6" max="6"/>
    <col width="32" customWidth="1" min="7" max="7"/>
    <col width="10" customWidth="1" min="8" max="8"/>
    <col width="10" customWidth="1" min="9" max="9"/>
    <col width="11" customWidth="1" min="10" max="10"/>
    <col width="15" customWidth="1" min="11" max="11"/>
    <col width="30" customWidth="1" min="12" max="12"/>
  </cols>
  <sheetData>
    <row r="1" ht="30" customHeight="1">
      <c r="A1" s="1" t="inlineStr">
        <is>
          <t>Bloque</t>
        </is>
      </c>
      <c r="B1" s="1" t="inlineStr">
        <is>
          <t>País</t>
        </is>
      </c>
      <c r="C1" s="1" t="inlineStr">
        <is>
          <t>Caso</t>
        </is>
      </c>
      <c r="D1" s="1" t="inlineStr">
        <is>
          <t>Tipo</t>
        </is>
      </c>
      <c r="E1" s="1" t="inlineStr">
        <is>
          <t>Qué es y cómo usa IA (evidencia)</t>
        </is>
      </c>
      <c r="F1" s="1" t="inlineStr">
        <is>
          <t>A verificar</t>
        </is>
      </c>
      <c r="G1" s="1" t="inlineStr">
        <is>
          <t>Enlace</t>
        </is>
      </c>
      <c r="H1" s="2" t="inlineStr">
        <is>
          <t>Natalia</t>
        </is>
      </c>
      <c r="I1" s="2" t="inlineStr">
        <is>
          <t>Nicole</t>
        </is>
      </c>
      <c r="J1" s="2" t="inlineStr">
        <is>
          <t>Revisor 3</t>
        </is>
      </c>
      <c r="K1" s="2" t="inlineStr">
        <is>
          <t>¿Coinciden?</t>
        </is>
      </c>
      <c r="L1" s="2" t="inlineStr">
        <is>
          <t>Comentarios para discutir</t>
        </is>
      </c>
    </row>
    <row r="2">
      <c r="A2" t="inlineStr">
        <is>
          <t>1. NUEVOS / dudosos</t>
        </is>
      </c>
      <c r="B2" t="inlineStr">
        <is>
          <t>BR</t>
        </is>
      </c>
      <c r="C2" s="3" t="inlineStr">
        <is>
          <t>5a Conferencia Nacional de CT&amp;I - sistematizacion con IA</t>
        </is>
      </c>
      <c r="D2" t="inlineStr">
        <is>
          <t>NUEVO</t>
        </is>
      </c>
      <c r="E2" s="3" t="inlineStr">
        <is>
          <t>200+ conferencias preparatorias con 100.000+ personas; la Subcomisión de Sistematización usó IA para procesar y organizar las contribuciones ciudadanas en el documento final que orientó la Estrategia Nacional de CT&amp;I.</t>
        </is>
      </c>
      <c r="F2" s="3" t="inlineStr"/>
      <c r="G2" s="3" t="inlineStr">
        <is>
          <t>https://5cncti.org.br/</t>
        </is>
      </c>
      <c r="H2" t="inlineStr"/>
      <c r="I2" t="inlineStr"/>
      <c r="J2" t="inlineStr"/>
      <c r="K2" s="4">
        <f>IF(COUNTA(H2:J2)&lt;3,"(faltan votos)",IF(AND(H2=I2,I2=J2),"DE ACUERDO","DISCUTIR"))</f>
        <v/>
      </c>
      <c r="L2" s="3" t="inlineStr"/>
    </row>
    <row r="3">
      <c r="A3" t="inlineStr">
        <is>
          <t>1. NUEVOS / dudosos</t>
        </is>
      </c>
      <c r="B3" t="inlineStr">
        <is>
          <t>BR</t>
        </is>
      </c>
      <c r="C3" s="3" t="inlineStr">
        <is>
          <t>Brasil Participativo - clustering semantico (BERTopic+LLM)</t>
        </is>
      </c>
      <c r="D3" t="inlineStr">
        <is>
          <t>NUEVO</t>
        </is>
      </c>
      <c r="E3" s="3" t="inlineStr">
        <is>
          <t>Pipeline BERTopic + LLMs sobre decenas de miles de propuestas ciudadanas reales (Plano Clima, PPA Participativo, Congresso da Juventude) en la plataforma federal Brasil Participativo; clasifica con vocabulario controlado VCGE y genera reportes.</t>
        </is>
      </c>
      <c r="F3" s="3" t="inlineStr">
        <is>
          <t>EVIDENCIA DE PRODUCCIÓN: paper 'From Pre-labeling to Production' (arXiv 2511.01545) + clasificador ML (UnB-LAPPIS). Resuelve la duda investigación vs despliegue oficial.</t>
        </is>
      </c>
      <c r="G3" s="3" t="inlineStr">
        <is>
          <t>https://arxiv.org/abs/2509.21292</t>
        </is>
      </c>
      <c r="H3" t="inlineStr"/>
      <c r="I3" t="inlineStr"/>
      <c r="J3" t="inlineStr"/>
      <c r="K3" s="4">
        <f>IF(COUNTA(H3:J3)&lt;3,"(faltan votos)",IF(AND(H3=I3,I3=J3),"DE ACUERDO","DISCUTIR"))</f>
        <v/>
      </c>
      <c r="L3" s="3" t="inlineStr"/>
    </row>
    <row r="4">
      <c r="A4" t="inlineStr">
        <is>
          <t>1. NUEVOS / dudosos</t>
        </is>
      </c>
      <c r="B4" t="inlineStr">
        <is>
          <t>BR</t>
        </is>
      </c>
      <c r="C4" s="3" t="inlineStr">
        <is>
          <t>Sao Paulo - Programa de Metas / Participe Mais (Gemini)</t>
        </is>
      </c>
      <c r="D4" t="inlineStr">
        <is>
          <t>NUEVO</t>
        </is>
      </c>
      <c r="E4" s="3" t="inlineStr">
        <is>
          <t>Herramienta (Python + Google Gemini), aplicada en may-2025, que clasifica y rankea por tema las 6.368 propuestas ciudadanas enviadas al portal Participe Mais (Decidim) para el Programa de Metas; genera mapas de participación por subprefectura.</t>
        </is>
      </c>
      <c r="F4" s="3" t="inlineStr">
        <is>
          <t>verificar uso operacional oficial (programa Agentes de Gobierno Abierto)</t>
        </is>
      </c>
      <c r="G4" s="3" t="inlineStr">
        <is>
          <t>https://participemais.prefeitura.sp.gov.br/legislation/processes/323</t>
        </is>
      </c>
      <c r="H4" t="inlineStr"/>
      <c r="I4" t="inlineStr"/>
      <c r="J4" t="inlineStr"/>
      <c r="K4" s="4">
        <f>IF(COUNTA(H4:J4)&lt;3,"(faltan votos)",IF(AND(H4=I4,I4=J4),"DE ACUERDO","DISCUTIR"))</f>
        <v/>
      </c>
      <c r="L4" s="3" t="inlineStr"/>
    </row>
    <row r="5">
      <c r="A5" t="inlineStr">
        <is>
          <t>1. NUEVOS / dudosos</t>
        </is>
      </c>
      <c r="B5" t="inlineStr">
        <is>
          <t>BR</t>
        </is>
      </c>
      <c r="C5" s="3" t="inlineStr">
        <is>
          <t>e-Cidadania Senado - IA matching de ideas legislativas</t>
        </is>
      </c>
      <c r="D5" t="inlineStr">
        <is>
          <t>NUEVO</t>
        </is>
      </c>
      <c r="E5" s="3" t="inlineStr">
        <is>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is>
      </c>
      <c r="F5" s="3" t="inlineStr">
        <is>
          <t>confirmado por IPU; distinto del baseline</t>
        </is>
      </c>
      <c r="G5" s="3" t="inlineStr">
        <is>
          <t>https://www12.senado.leg.br/noticias/materias/2026/01/16/cidadaos-ajudam-a-escrever-projetos-de-lei-com-ferramenta-de-inteligencia-artificial</t>
        </is>
      </c>
      <c r="H5" t="inlineStr"/>
      <c r="I5" t="inlineStr"/>
      <c r="J5" t="inlineStr"/>
      <c r="K5" s="4">
        <f>IF(COUNTA(H5:J5)&lt;3,"(faltan votos)",IF(AND(H5=I5,I5=J5),"DE ACUERDO","DISCUTIR"))</f>
        <v/>
      </c>
      <c r="L5" s="3" t="inlineStr"/>
    </row>
    <row r="6">
      <c r="A6" t="inlineStr">
        <is>
          <t>1. NUEVOS / dudosos</t>
        </is>
      </c>
      <c r="B6" t="inlineStr">
        <is>
          <t>CL</t>
        </is>
      </c>
      <c r="C6" s="3" t="inlineStr">
        <is>
          <t>El Chile que Queremos (ECQQ) - MinCiencia</t>
        </is>
      </c>
      <c r="D6" t="inlineStr">
        <is>
          <t>NUEVO</t>
        </is>
      </c>
      <c r="E6" s="3" t="inlineStr">
        <is>
          <t>Diálogos ciudadanos 2019-2020 (~132.000 participantes, 345 comunas); MinCiencia aplicó RNN, Random Forest, modelado de tópicos (LDA), clasificación de emociones y de necesidades sobre el texto libre de los aportes (código público en GitHub).</t>
        </is>
      </c>
      <c r="F6" s="3" t="inlineStr">
        <is>
          <t>evidencia fuerte (código público); verificar que sea distinto del baseline 'Estudio dIAlogos'</t>
        </is>
      </c>
      <c r="G6" s="3" t="inlineStr">
        <is>
          <t>https://github.com/MinCiencia/ECQQ</t>
        </is>
      </c>
      <c r="H6" t="inlineStr"/>
      <c r="I6" t="inlineStr"/>
      <c r="J6" t="inlineStr"/>
      <c r="K6" s="4">
        <f>IF(COUNTA(H6:J6)&lt;3,"(faltan votos)",IF(AND(H6=I6,I6=J6),"DE ACUERDO","DISCUTIR"))</f>
        <v/>
      </c>
      <c r="L6" s="3" t="inlineStr"/>
    </row>
    <row r="7">
      <c r="A7" t="inlineStr">
        <is>
          <t>1. NUEVOS / dudosos</t>
        </is>
      </c>
      <c r="B7" t="inlineStr">
        <is>
          <t>CL</t>
        </is>
      </c>
      <c r="C7" s="3" t="inlineStr">
        <is>
          <t>LXS 400 - Chile Delibera</t>
        </is>
      </c>
      <c r="D7" t="inlineStr">
        <is>
          <t>NUEVO</t>
        </is>
      </c>
      <c r="E7" s="3" t="inlineStr">
        <is>
          <t>Mini-público online de 400 ciudadanos (pensiones y salud); la Stanford Online Deliberation Platform usó IA para gestionar turnos de habla y estructurar los aportes en reportes. Citado por la OCDE 2025. No está en el baseline.</t>
        </is>
      </c>
      <c r="F7" s="3" t="inlineStr">
        <is>
          <t>2021; nuevo para el índice</t>
        </is>
      </c>
      <c r="G7" s="3" t="inlineStr">
        <is>
          <t>https://www.senado.cl/noticias/participacion-ciudadana/chile-delibera-lxs-400-un-fin-de-semana-de-democracia-deliberativa-online</t>
        </is>
      </c>
      <c r="H7" t="inlineStr"/>
      <c r="I7" t="inlineStr"/>
      <c r="J7" t="inlineStr"/>
      <c r="K7" s="4">
        <f>IF(COUNTA(H7:J7)&lt;3,"(faltan votos)",IF(AND(H7=I7,I7=J7),"DE ACUERDO","DISCUTIR"))</f>
        <v/>
      </c>
      <c r="L7" s="3" t="inlineStr"/>
    </row>
    <row r="8">
      <c r="A8" t="inlineStr">
        <is>
          <t>1. NUEVOS / dudosos</t>
        </is>
      </c>
      <c r="B8" t="inlineStr">
        <is>
          <t>CO</t>
        </is>
      </c>
      <c r="C8" s="3" t="inlineStr">
        <is>
          <t>Citibeats + PNUD Colombia (deliberación pública juvenil)</t>
        </is>
      </c>
      <c r="D8" t="inlineStr">
        <is>
          <t>NUEVO</t>
        </is>
      </c>
      <c r="E8" s="3" t="inlineStr">
        <is>
          <t>El Laboratorio de Aceleración del PNUD usó Citibeats (IA) para monitorear y agrupar en tiempo real opiniones y propuestas de deliberación pública juvenil, identificando tópicos y clasificando los inputs ciudadanos.</t>
        </is>
      </c>
      <c r="F8" s="3" t="inlineStr">
        <is>
          <t>confirmar si es proceso participativo formal o social listening</t>
        </is>
      </c>
      <c r="G8" s="3" t="inlineStr">
        <is>
          <t>https://www.undp.org/es/colombia/blog/analitica-de-datos-para-mejorar-la-deliberacion-publica-en-colombia</t>
        </is>
      </c>
      <c r="H8" t="inlineStr"/>
      <c r="I8" t="inlineStr"/>
      <c r="J8" t="inlineStr"/>
      <c r="K8" s="4">
        <f>IF(COUNTA(H8:J8)&lt;3,"(faltan votos)",IF(AND(H8=I8,I8=J8),"DE ACUERDO","DISCUTIR"))</f>
        <v/>
      </c>
      <c r="L8" s="3" t="inlineStr"/>
    </row>
    <row r="9">
      <c r="A9" t="inlineStr">
        <is>
          <t>1. NUEVOS / dudosos</t>
        </is>
      </c>
      <c r="B9" t="inlineStr">
        <is>
          <t>CO</t>
        </is>
      </c>
      <c r="C9" s="3" t="inlineStr">
        <is>
          <t>ISIDataInsights / Reto de Ciudad 'Datos con Historia' (SDP Bogotá)</t>
        </is>
      </c>
      <c r="D9" t="inlineStr">
        <is>
          <t>NUEVO</t>
        </is>
      </c>
      <c r="E9" s="3"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F9" s="3" t="inlineStr">
        <is>
          <t>verificar integración operativa y aplicación a un proceso participativo concreto</t>
        </is>
      </c>
      <c r="G9" s="3" t="inlineStr">
        <is>
          <t>https://www.sdp.gov.co/noticias/bogota-cuenta-nueva-solucion-optimizar-analisis-de-informacion-cualitativa-basada-ciencia-tecnologia</t>
        </is>
      </c>
      <c r="H9" t="inlineStr"/>
      <c r="I9" t="inlineStr"/>
      <c r="J9" t="inlineStr"/>
      <c r="K9" s="4">
        <f>IF(COUNTA(H9:J9)&lt;3,"(faltan votos)",IF(AND(H9=I9,I9=J9),"DE ACUERDO","DISCUTIR"))</f>
        <v/>
      </c>
      <c r="L9" s="3" t="inlineStr"/>
    </row>
    <row r="10">
      <c r="A10" t="inlineStr">
        <is>
          <t>1. NUEVOS / dudosos</t>
        </is>
      </c>
      <c r="B10" t="inlineStr">
        <is>
          <t>MX</t>
        </is>
      </c>
      <c r="C10" s="3" t="inlineStr">
        <is>
          <t>Guanajuato Inteligente 2024-2030</t>
        </is>
      </c>
      <c r="D10" t="inlineStr">
        <is>
          <t>NUEVO</t>
        </is>
      </c>
      <c r="E10" s="3" t="inlineStr">
        <is>
          <t>Gobierno estatal recolectó opiniones de 26.000+ ciudadanos en talleres en 46 municipios; IA analiza los aportes para identificar patrones de los principales problemas que alimentan los ejes del plan de gobierno (lanzado feb-2025).</t>
        </is>
      </c>
      <c r="F10" s="3" t="inlineStr">
        <is>
          <t>verificar software de IA específico</t>
        </is>
      </c>
      <c r="G10" s="3" t="inlineStr">
        <is>
          <t>https://guanajuatointeligente.com</t>
        </is>
      </c>
      <c r="H10" t="inlineStr"/>
      <c r="I10" t="inlineStr"/>
      <c r="J10" t="inlineStr"/>
      <c r="K10" s="4">
        <f>IF(COUNTA(H10:J10)&lt;3,"(faltan votos)",IF(AND(H10=I10,I10=J10),"DE ACUERDO","DISCUTIR"))</f>
        <v/>
      </c>
      <c r="L10" s="3" t="inlineStr"/>
    </row>
    <row r="11">
      <c r="A11" t="inlineStr">
        <is>
          <t>1. NUEVOS / dudosos</t>
        </is>
      </c>
      <c r="B11" t="inlineStr">
        <is>
          <t>PA</t>
        </is>
      </c>
      <c r="C11" s="3" t="inlineStr">
        <is>
          <t>Mansa Idea (Pacto del Bicentenario)</t>
        </is>
      </c>
      <c r="D11" t="inlineStr">
        <is>
          <t>NUEVO</t>
        </is>
      </c>
      <c r="E11" s="3" t="inlineStr">
        <is>
          <t>Plataforma con IA que organiza y hace navegables 175.000+ propuestas ciudadanas del Pacto del Bicentenario, agregando consensos nacionales y provinciales por tema.</t>
        </is>
      </c>
      <c r="F11" s="3" t="inlineStr">
        <is>
          <t>proceso (Pacto del Bicentenario) 2020-21; la IA organiza ese corpus en 2024; sociedad civil; tecnología de IA sin identificar; ¿corpus histórico vs proceso activo?</t>
        </is>
      </c>
      <c r="G11" s="3" t="inlineStr">
        <is>
          <t>https://mansaidea.com/</t>
        </is>
      </c>
      <c r="H11" t="inlineStr"/>
      <c r="I11" t="inlineStr"/>
      <c r="J11" t="inlineStr"/>
      <c r="K11" s="4">
        <f>IF(COUNTA(H11:J11)&lt;3,"(faltan votos)",IF(AND(H11=I11,I11=J11),"DE ACUERDO","DISCUTIR"))</f>
        <v/>
      </c>
      <c r="L11" s="3" t="inlineStr"/>
    </row>
    <row r="12">
      <c r="A12" t="inlineStr">
        <is>
          <t>1. NUEVOS / dudosos</t>
        </is>
      </c>
      <c r="B12" t="inlineStr">
        <is>
          <t>BR</t>
        </is>
      </c>
      <c r="C12" s="3" t="inlineStr">
        <is>
          <t>Cátedra Brasil / Co:Lab USP - IA generativa en presupuesto participativo (SP)</t>
        </is>
      </c>
      <c r="D12" t="inlineStr">
        <is>
          <t>dudoso</t>
        </is>
      </c>
      <c r="E12" s="3" t="inlineStr">
        <is>
          <t>Investigación (Co:Lab USP, José Carlos Vaz) sobre IA generativa que ayuda a la ciudadanía a redactar y estructurar propuestas en el presupuesto participativo de São Paulo; en curso (pesquisas em andamento), no confirmado como despliegue oficial.</t>
        </is>
      </c>
      <c r="F12" s="3" t="inlineStr">
        <is>
          <t>piloto búsqueda ampliada; investigación/prototipo</t>
        </is>
      </c>
      <c r="G12" s="3" t="inlineStr">
        <is>
          <t>https://colab.each.usp.br/blog/2025/03/28/a-ia-generativa-e-o-futuro-da-participacao-cidada-pesquisas-em-andamento/</t>
        </is>
      </c>
      <c r="H12" t="inlineStr"/>
      <c r="I12" t="inlineStr"/>
      <c r="J12" t="inlineStr"/>
      <c r="K12" s="4">
        <f>IF(COUNTA(H12:J12)&lt;3,"(faltan votos)",IF(AND(H12=I12,I12=J12),"DE ACUERDO","DISCUTIR"))</f>
        <v/>
      </c>
      <c r="L12" s="3" t="inlineStr"/>
    </row>
    <row r="13">
      <c r="A13" t="inlineStr">
        <is>
          <t>1. NUEVOS / dudosos</t>
        </is>
      </c>
      <c r="B13" t="inlineStr">
        <is>
          <t>BR</t>
        </is>
      </c>
      <c r="C13" s="3" t="inlineStr">
        <is>
          <t>OPA Piaui - Presupuesto Participativo Digital (Colab + AWS)</t>
        </is>
      </c>
      <c r="D13" t="inlineStr">
        <is>
          <t>dudoso</t>
        </is>
      </c>
      <c r="E13" s="3" t="inlineStr">
        <is>
          <t>Orçamento Participativo Digital 2025-2026 en plataforma Colab con IA de AWS que redujo 40% el tiempo de análisis de 1.311 propuestas; el rol semántico sobre el contenido (vs gestión documental) requiere confirmación.</t>
        </is>
      </c>
      <c r="F13" s="3" t="inlineStr">
        <is>
          <t>confirmar rol de IA sobre contenido</t>
        </is>
      </c>
      <c r="G13" s="3" t="inlineStr">
        <is>
          <t>https://opa.seplan.pi.gov.br/</t>
        </is>
      </c>
      <c r="H13" t="inlineStr"/>
      <c r="I13" t="inlineStr"/>
      <c r="J13" t="inlineStr"/>
      <c r="K13" s="4">
        <f>IF(COUNTA(H13:J13)&lt;3,"(faltan votos)",IF(AND(H13=I13,I13=J13),"DE ACUERDO","DISCUTIR"))</f>
        <v/>
      </c>
      <c r="L13" s="3" t="inlineStr"/>
    </row>
    <row r="14">
      <c r="A14" t="inlineStr">
        <is>
          <t>1. NUEVOS / dudosos</t>
        </is>
      </c>
      <c r="B14" t="inlineStr">
        <is>
          <t>CL</t>
        </is>
      </c>
      <c r="C14" s="3" t="inlineStr">
        <is>
          <t>Senador Virtual / CrowdLaw (GobLab UAI + IMFD)</t>
        </is>
      </c>
      <c r="D14" t="inlineStr">
        <is>
          <t>dudoso</t>
        </is>
      </c>
      <c r="E14" s="3" t="inlineStr">
        <is>
          <t>Investigación (GobLab UAI + IMFD, 2018-2023) sobre NLP aplicado a los aportes ciudadanos legislativos de la plataforma Senador Virtual del Senado (16 años activa); no verificado en producción.</t>
        </is>
      </c>
      <c r="F14" s="3" t="inlineStr">
        <is>
          <t>investigación; confirmar aplicación en producción</t>
        </is>
      </c>
      <c r="G14" s="3" t="inlineStr">
        <is>
          <t>https://goblab.uai.cl/en/espanol-sistematizando-la-participacion-ciudadana/</t>
        </is>
      </c>
      <c r="H14" t="inlineStr"/>
      <c r="I14" t="inlineStr"/>
      <c r="J14" t="inlineStr"/>
      <c r="K14" s="4">
        <f>IF(COUNTA(H14:J14)&lt;3,"(faltan votos)",IF(AND(H14=I14,I14=J14),"DE ACUERDO","DISCUTIR"))</f>
        <v/>
      </c>
      <c r="L14" s="3" t="inlineStr"/>
    </row>
    <row r="15">
      <c r="A15" t="inlineStr">
        <is>
          <t>1. NUEVOS / dudosos</t>
        </is>
      </c>
      <c r="B15" t="inlineStr">
        <is>
          <t>CO</t>
        </is>
      </c>
      <c r="C15" s="3" t="inlineStr">
        <is>
          <t>DNP - Diálogos Regionales Vinculantes (PND 2022-2026)</t>
        </is>
      </c>
      <c r="D15" t="inlineStr">
        <is>
          <t>dudoso</t>
        </is>
      </c>
      <c r="E15" s="3" t="inlineStr">
        <is>
          <t>51 diálogos regionales, 250.000 participantes, 89.788 propuestas ciudadanas; una 'Unidad de Científicos de Datos' del DNP las sistematizó (análisis por frecuencia/recurrencia).</t>
        </is>
      </c>
      <c r="F15" s="3" t="inlineStr">
        <is>
          <t>confirmar si la sistematización usó NLP/IA o codificación manual</t>
        </is>
      </c>
      <c r="G15" s="3" t="inlineStr">
        <is>
          <t>https://dialogosregionales.dnp.gov.co/</t>
        </is>
      </c>
      <c r="H15" t="inlineStr"/>
      <c r="I15" t="inlineStr"/>
      <c r="J15" t="inlineStr"/>
      <c r="K15" s="4">
        <f>IF(COUNTA(H15:J15)&lt;3,"(faltan votos)",IF(AND(H15=I15,I15=J15),"DE ACUERDO","DISCUTIR"))</f>
        <v/>
      </c>
      <c r="L15" s="3" t="inlineStr"/>
    </row>
    <row r="16">
      <c r="A16" t="inlineStr">
        <is>
          <t>1. NUEVOS / dudosos</t>
        </is>
      </c>
      <c r="B16" t="inlineStr">
        <is>
          <t>CO</t>
        </is>
      </c>
      <c r="C16" s="3" t="inlineStr">
        <is>
          <t>IA para participación en el POT de Bogotá (Control Visible/Auditoría)</t>
        </is>
      </c>
      <c r="D16" t="inlineStr">
        <is>
          <t>dudoso</t>
        </is>
      </c>
      <c r="E16" s="3" t="inlineStr">
        <is>
          <t>Artículo (Revista de la Auditoría General, jun-2025) que aplica modelos de IA al contenido de aportes ciudadanos en la planificación urbana (POT) de Bogotá; metodología mixta con 395 ciudadanos.</t>
        </is>
      </c>
      <c r="F16" s="3" t="inlineStr">
        <is>
          <t>¿piloto implementado o propuesta de diseño? verificar</t>
        </is>
      </c>
      <c r="G16" s="3" t="inlineStr">
        <is>
          <t>https://controlvisible.auditoria.gov.co/index.php/rcf/article/view/63</t>
        </is>
      </c>
      <c r="H16" t="inlineStr"/>
      <c r="I16" t="inlineStr"/>
      <c r="J16" t="inlineStr"/>
      <c r="K16" s="4">
        <f>IF(COUNTA(H16:J16)&lt;3,"(faltan votos)",IF(AND(H16=I16,I16=J16),"DE ACUERDO","DISCUTIR"))</f>
        <v/>
      </c>
      <c r="L16" s="3" t="inlineStr"/>
    </row>
    <row r="17">
      <c r="A17" t="inlineStr">
        <is>
          <t>1. NUEVOS / dudosos</t>
        </is>
      </c>
      <c r="B17" t="inlineStr">
        <is>
          <t>CU</t>
        </is>
      </c>
      <c r="C17" s="3" t="inlineStr">
        <is>
          <t>Consulta Popular Código de las Familias (GEMA-CEN/XISCOP)</t>
        </is>
      </c>
      <c r="D17" t="inlineStr">
        <is>
          <t>dudoso</t>
        </is>
      </c>
      <c r="E17" s="3" t="inlineStr">
        <is>
          <t>Consulta popular legislativa nacional (2022, ~6,5M participantes, 269k+ propuestas); GEMA-CEN (Datys) hace 'análisis inteligente de expedientes' que agrupa propuestas similares y determina 'propuestas típicas' por párrafo/categoría; XISCOP (UCI) emite estadísticas oficiales.</t>
        </is>
      </c>
      <c r="F17" s="3" t="inlineStr">
        <is>
          <t>2022; verificar si 'análisis inteligente' es NLP/ML o lógica de reglas (Datys/UCI). CU pasa de 0 a 1 señal.</t>
        </is>
      </c>
      <c r="G17" s="3" t="inlineStr">
        <is>
          <t>https://oncubanews.com/cuba/softwares-cubanos-seran-utilizados-en-el-proceso-de-consulta-popular-sobre-el-codigo-de-las-familias/</t>
        </is>
      </c>
      <c r="H17" t="inlineStr"/>
      <c r="I17" t="inlineStr"/>
      <c r="J17" t="inlineStr"/>
      <c r="K17" s="4">
        <f>IF(COUNTA(H17:J17)&lt;3,"(faltan votos)",IF(AND(H17=I17,I17=J17),"DE ACUERDO","DISCUTIR"))</f>
        <v/>
      </c>
      <c r="L17" s="3" t="inlineStr"/>
    </row>
    <row r="18">
      <c r="A18" t="inlineStr">
        <is>
          <t>1. NUEVOS / dudosos</t>
        </is>
      </c>
      <c r="B18" t="inlineStr">
        <is>
          <t>TT</t>
        </is>
      </c>
      <c r="C18" s="3" t="inlineStr">
        <is>
          <t>EngageTT (plataforma Go Vocal)</t>
        </is>
      </c>
      <c r="D18" t="inlineStr">
        <is>
          <t>dudoso</t>
        </is>
      </c>
      <c r="E18" s="3"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t>
        </is>
      </c>
      <c r="F18" s="3" t="inlineStr">
        <is>
          <t>confirmar tier/activación de IA de Go Vocal con MDT/MPAAI</t>
        </is>
      </c>
      <c r="G18" s="3" t="inlineStr">
        <is>
          <t>https://engage.gov.tt/projects/national-digital-transformation-strategy</t>
        </is>
      </c>
      <c r="H18" t="inlineStr"/>
      <c r="I18" t="inlineStr"/>
      <c r="J18" t="inlineStr"/>
      <c r="K18" s="4">
        <f>IF(COUNTA(H18:J18)&lt;3,"(faltan votos)",IF(AND(H18=I18,I18=J18),"DE ACUERDO","DISCUTIR"))</f>
        <v/>
      </c>
      <c r="L18" s="3" t="inlineStr"/>
    </row>
    <row r="19">
      <c r="A19" t="inlineStr">
        <is>
          <t>1. NUEVOS / dudosos</t>
        </is>
      </c>
      <c r="B19" t="inlineStr">
        <is>
          <t>VE</t>
        </is>
      </c>
      <c r="C19" s="3" t="inlineStr">
        <is>
          <t>Plan de la Patria 7 Transformaciones - IA y Big Data</t>
        </is>
      </c>
      <c r="D19" t="inlineStr">
        <is>
          <t>dudoso</t>
        </is>
      </c>
      <c r="E19" s="3" t="inlineStr">
        <is>
          <t>Afirmación de prensa estatal (Correo del Orinoco, mar-2026): IA+Big Data procesaron 500k+ propuestas. Dato más verificable: 34.491 propuestas cargadas por rapporteurs manuales + SIG. Incluir IA es un EJE del plan, no herramienta de análisis. Sin corroboración técnica.</t>
        </is>
      </c>
      <c r="F19" s="3" t="inlineStr">
        <is>
          <t>fuente estatal única; ningún proveedor/académico corrobora; verificar con MPPP/MINCYT</t>
        </is>
      </c>
      <c r="G19" s="3" t="inlineStr">
        <is>
          <t>https://www.correodelorinoco.gob.ve/venezuela-impulsa-el-debate-sobre-inteligencia-artificial-bajo-principios-de-soberania-y-etica/</t>
        </is>
      </c>
      <c r="H19" t="inlineStr"/>
      <c r="I19" t="inlineStr"/>
      <c r="J19" t="inlineStr"/>
      <c r="K19" s="4">
        <f>IF(COUNTA(H19:J19)&lt;3,"(faltan votos)",IF(AND(H19=I19,I19=J19),"DE ACUERDO","DISCUTIR"))</f>
        <v/>
      </c>
      <c r="L19" s="3" t="inlineStr"/>
    </row>
    <row r="20">
      <c r="A20" t="inlineStr">
        <is>
          <t>2. Baseline 2025</t>
        </is>
      </c>
      <c r="B20" t="inlineStr">
        <is>
          <t>BO</t>
        </is>
      </c>
      <c r="C20" s="3" t="inlineStr">
        <is>
          <t>Bolivia Conversa</t>
        </is>
      </c>
      <c r="D20" t="inlineStr">
        <is>
          <t>Baseline (reverif. 2026)</t>
        </is>
      </c>
      <c r="E20" s="3" t="inlineStr">
        <is>
          <t>Plataforma de diálogo digital que emplea IA para procesar y agrupar aportaciones ciudadanas en tiempo real, retornando feedback inmediato y garantizando anonimato, con vistas a fomentar el reencuentro y la cohesión social en el país.</t>
        </is>
      </c>
      <c r="F20" s="3" t="inlineStr">
        <is>
          <t>Ratificar que sigue activo en 2026 y recodificar (convocante/nivel). Hay señal de actividad 2026.</t>
        </is>
      </c>
      <c r="G20" s="3" t="inlineStr">
        <is>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is>
      </c>
      <c r="H20" t="inlineStr"/>
      <c r="I20" t="inlineStr"/>
      <c r="J20" t="inlineStr"/>
      <c r="K20" s="4">
        <f>IF(COUNTA(H20:J20)&lt;3,"(faltan votos)",IF(AND(H20=I20,I20=J20),"DE ACUERDO","DISCUTIR"))</f>
        <v/>
      </c>
      <c r="L20" s="3" t="inlineStr"/>
    </row>
    <row r="21">
      <c r="A21" t="inlineStr">
        <is>
          <t>2. Baseline 2025</t>
        </is>
      </c>
      <c r="B21" t="inlineStr">
        <is>
          <t>BR</t>
        </is>
      </c>
      <c r="C21" s="3" t="inlineStr">
        <is>
          <t>Colab</t>
        </is>
      </c>
      <c r="D21" t="inlineStr">
        <is>
          <t>Baseline 2025</t>
        </is>
      </c>
      <c r="E21" s="3"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F21" s="3" t="inlineStr">
        <is>
          <t>Ratificar que sigue activo en 2026 y recodificar (convocante/nivel). Falta señal de actividad 2026.</t>
        </is>
      </c>
      <c r="G21" s="3" t="inlineStr">
        <is>
          <t>https://www.colab.com.br/sou-cidadao/</t>
        </is>
      </c>
      <c r="H21" t="inlineStr"/>
      <c r="I21" t="inlineStr"/>
      <c r="J21" t="inlineStr"/>
      <c r="K21" s="4">
        <f>IF(COUNTA(H21:J21)&lt;3,"(faltan votos)",IF(AND(H21=I21,I21=J21),"DE ACUERDO","DISCUTIR"))</f>
        <v/>
      </c>
      <c r="L21" s="3" t="inlineStr"/>
    </row>
    <row r="22">
      <c r="A22" t="inlineStr">
        <is>
          <t>2. Baseline 2025</t>
        </is>
      </c>
      <c r="B22" t="inlineStr">
        <is>
          <t>BR</t>
        </is>
      </c>
      <c r="C22" s="3" t="inlineStr">
        <is>
          <t>ParticipACT Brasil</t>
        </is>
      </c>
      <c r="D22" t="inlineStr">
        <is>
          <t>Baseline 2025</t>
        </is>
      </c>
      <c r="E22" s="3"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F22" s="3" t="inlineStr">
        <is>
          <t>Ratificar que sigue activo en 2026 y recodificar (convocante/nivel). Falta señal de actividad 2026.</t>
        </is>
      </c>
      <c r="G22" s="3" t="inlineStr">
        <is>
          <t>https://site.participact.com.br/</t>
        </is>
      </c>
      <c r="H22" t="inlineStr"/>
      <c r="I22" t="inlineStr"/>
      <c r="J22" t="inlineStr"/>
      <c r="K22" s="4">
        <f>IF(COUNTA(H22:J22)&lt;3,"(faltan votos)",IF(AND(H22=I22,I22=J22),"DE ACUERDO","DISCUTIR"))</f>
        <v/>
      </c>
      <c r="L22" s="3" t="inlineStr"/>
    </row>
    <row r="23">
      <c r="A23" t="inlineStr">
        <is>
          <t>2. Baseline 2025</t>
        </is>
      </c>
      <c r="B23" t="inlineStr">
        <is>
          <t>BR</t>
        </is>
      </c>
      <c r="C23" s="3" t="inlineStr">
        <is>
          <t>Plan Plurianual de la ciudad de Natal</t>
        </is>
      </c>
      <c r="D23" t="inlineStr">
        <is>
          <t>Baseline (reverif. 2026)</t>
        </is>
      </c>
      <c r="E23" s="3" t="inlineStr">
        <is>
          <t>Recolección de información a través de tres preguntas habilitadas por WhatsApp para diseñar el Plan Plurianual de la ciudad 2026-2029</t>
        </is>
      </c>
      <c r="F23" s="3" t="inlineStr">
        <is>
          <t>Ratificar que sigue activo en 2026 y recodificar (convocante/nivel). Hay señal de actividad 2026.</t>
        </is>
      </c>
      <c r="G23" s="3" t="inlineStr">
        <is>
          <t>https://www.natal.rn.gov.br/news/post2/42103</t>
        </is>
      </c>
      <c r="H23" t="inlineStr"/>
      <c r="I23" t="inlineStr"/>
      <c r="J23" t="inlineStr"/>
      <c r="K23" s="4">
        <f>IF(COUNTA(H23:J23)&lt;3,"(faltan votos)",IF(AND(H23=I23,I23=J23),"DE ACUERDO","DISCUTIR"))</f>
        <v/>
      </c>
      <c r="L23" s="3" t="inlineStr"/>
    </row>
    <row r="24">
      <c r="A24" t="inlineStr">
        <is>
          <t>2. Baseline 2025</t>
        </is>
      </c>
      <c r="B24" t="inlineStr">
        <is>
          <t>BR</t>
        </is>
      </c>
      <c r="C24" s="3" t="inlineStr">
        <is>
          <t>Portal e-Cidadania: Marcado automático de respuestas ciudadanas en videos de audiencias públicas</t>
        </is>
      </c>
      <c r="D24" t="inlineStr">
        <is>
          <t>Baseline (reverif. 2026)</t>
        </is>
      </c>
      <c r="E24" s="3" t="inlineStr">
        <is>
          <t>Implementación de IA para identificar y marcar en los videos de eventos las respuestas dadas a preguntas ciudadanas, incluso cuando estas no fueron respondidas directamente durante las audiencias.</t>
        </is>
      </c>
      <c r="F24" s="3" t="inlineStr">
        <is>
          <t>Ratificar que sigue activo en 2026 y recodificar (convocante/nivel). Hay señal de actividad 2026.</t>
        </is>
      </c>
      <c r="G24" s="3" t="inlineStr">
        <is>
          <t>https://ipen-network.org/spotlight-on-public-engagement-practice-brazil/</t>
        </is>
      </c>
      <c r="H24" t="inlineStr"/>
      <c r="I24" t="inlineStr"/>
      <c r="J24" t="inlineStr"/>
      <c r="K24" s="4">
        <f>IF(COUNTA(H24:J24)&lt;3,"(faltan votos)",IF(AND(H24=I24,I24=J24),"DE ACUERDO","DISCUTIR"))</f>
        <v/>
      </c>
      <c r="L24" s="3" t="inlineStr"/>
    </row>
    <row r="25">
      <c r="A25" t="inlineStr">
        <is>
          <t>2. Baseline 2025</t>
        </is>
      </c>
      <c r="B25" t="inlineStr">
        <is>
          <t>CL</t>
        </is>
      </c>
      <c r="C25" s="3" t="inlineStr">
        <is>
          <t>Cabildos 2016</t>
        </is>
      </c>
      <c r="D25" t="inlineStr">
        <is>
          <t>Baseline (reverif. 2026)</t>
        </is>
      </c>
      <c r="E25" s="3" t="inlineStr">
        <is>
          <t>Análisis de los cabildos del proceso constitucional en 2016</t>
        </is>
      </c>
      <c r="F25" s="3" t="inlineStr">
        <is>
          <t>Ratificar que sigue activo en 2026 y recodificar (convocante/nivel). Hay señal de actividad 2026.</t>
        </is>
      </c>
      <c r="G25" s="3" t="inlineStr">
        <is>
          <t>https://www.bcn.cl/procesoconstituyente/cabildos2016/</t>
        </is>
      </c>
      <c r="H25" t="inlineStr"/>
      <c r="I25" t="inlineStr"/>
      <c r="J25" t="inlineStr"/>
      <c r="K25" s="4">
        <f>IF(COUNTA(H25:J25)&lt;3,"(faltan votos)",IF(AND(H25=I25,I25=J25),"DE ACUERDO","DISCUTIR"))</f>
        <v/>
      </c>
      <c r="L25" s="3" t="inlineStr"/>
    </row>
    <row r="26">
      <c r="A26" t="inlineStr">
        <is>
          <t>2. Baseline 2025</t>
        </is>
      </c>
      <c r="B26" t="inlineStr">
        <is>
          <t>CL</t>
        </is>
      </c>
      <c r="C26" s="3" t="inlineStr">
        <is>
          <t>Estrategia de Gobierno Digital. Informe proceso participativo segunda consulta ciudadana</t>
        </is>
      </c>
      <c r="D26" t="inlineStr">
        <is>
          <t>Baseline 2025</t>
        </is>
      </c>
      <c r="E26" s="3" t="inlineStr">
        <is>
          <t>Uso de IA para analizar datos cualitativos en consulta ciudadana.</t>
        </is>
      </c>
      <c r="F26" s="3" t="inlineStr">
        <is>
          <t>Ratificar que sigue activo en 2026 y recodificar (convocante/nivel). Falta señal de actividad 2026.</t>
        </is>
      </c>
      <c r="G26" s="3" t="inlineStr">
        <is>
          <t>https://participacion.digital.gob.cl/es-CL/folders/consultas-ciudadanas</t>
        </is>
      </c>
      <c r="H26" t="inlineStr"/>
      <c r="I26" t="inlineStr"/>
      <c r="J26" t="inlineStr"/>
      <c r="K26" s="4">
        <f>IF(COUNTA(H26:J26)&lt;3,"(faltan votos)",IF(AND(H26=I26,I26=J26),"DE ACUERDO","DISCUTIR"))</f>
        <v/>
      </c>
      <c r="L26" s="3" t="inlineStr"/>
    </row>
    <row r="27">
      <c r="A27" t="inlineStr">
        <is>
          <t>2. Baseline 2025</t>
        </is>
      </c>
      <c r="B27" t="inlineStr">
        <is>
          <t>CL</t>
        </is>
      </c>
      <c r="C27" s="3" t="inlineStr">
        <is>
          <t>Estudio dIAlogos - Percepciones de Futuro</t>
        </is>
      </c>
      <c r="D27" t="inlineStr">
        <is>
          <t>Baseline 2025</t>
        </is>
      </c>
      <c r="E27" s="3" t="inlineStr">
        <is>
          <t>Estudio que utilizó distintas herramientas de IA para conocer las percepciones de futuro de la población chilena</t>
        </is>
      </c>
      <c r="F27" s="3" t="inlineStr">
        <is>
          <t>Ratificar que sigue activo en 2026 y recodificar (convocante/nivel). Falta señal de actividad 2026.</t>
        </is>
      </c>
      <c r="G27" s="3" t="inlineStr">
        <is>
          <t>https://fairlac.iadb.org/estudio-dialogos-percepciones-de-futuro</t>
        </is>
      </c>
      <c r="H27" t="inlineStr"/>
      <c r="I27" t="inlineStr"/>
      <c r="J27" t="inlineStr"/>
      <c r="K27" s="4">
        <f>IF(COUNTA(H27:J27)&lt;3,"(faltan votos)",IF(AND(H27=I27,I27=J27),"DE ACUERDO","DISCUTIR"))</f>
        <v/>
      </c>
      <c r="L27" s="3" t="inlineStr"/>
    </row>
    <row r="28">
      <c r="A28" t="inlineStr">
        <is>
          <t>2. Baseline 2025</t>
        </is>
      </c>
      <c r="B28" t="inlineStr">
        <is>
          <t>CL</t>
        </is>
      </c>
      <c r="C28" s="3" t="inlineStr">
        <is>
          <t>Jornada de Escucha Lanzamiento Instituto de Políticas Públicas UNAB</t>
        </is>
      </c>
      <c r="D28" t="inlineStr">
        <is>
          <t>Baseline 2025</t>
        </is>
      </c>
      <c r="E28" s="3" t="inlineStr">
        <is>
          <t>Jornadas de diálogo de la comunidad académica y otos stakeholders.</t>
        </is>
      </c>
      <c r="F28" s="3" t="inlineStr">
        <is>
          <t>Ratificar que sigue activo en 2026 y recodificar (convocante/nivel). Falta señal de actividad 2026.</t>
        </is>
      </c>
      <c r="G28" s="3" t="inlineStr">
        <is>
          <t>https://public.tableau.com/app/profile/ivania.yovanovic/viz/JornadasInstitutoPolticasPblicasUNAB/Dashboard3</t>
        </is>
      </c>
      <c r="H28" t="inlineStr"/>
      <c r="I28" t="inlineStr"/>
      <c r="J28" t="inlineStr"/>
      <c r="K28" s="4">
        <f>IF(COUNTA(H28:J28)&lt;3,"(faltan votos)",IF(AND(H28=I28,I28=J28),"DE ACUERDO","DISCUTIR"))</f>
        <v/>
      </c>
      <c r="L28" s="3" t="inlineStr"/>
    </row>
    <row r="29">
      <c r="A29" t="inlineStr">
        <is>
          <t>2. Baseline 2025</t>
        </is>
      </c>
      <c r="B29" t="inlineStr">
        <is>
          <t>CL</t>
        </is>
      </c>
      <c r="C29" s="3" t="inlineStr">
        <is>
          <t>La voz de los nuevos votantes</t>
        </is>
      </c>
      <c r="D29" t="inlineStr">
        <is>
          <t>Baseline 2025</t>
        </is>
      </c>
      <c r="E29" s="3" t="inlineStr">
        <is>
          <t>Análisis de Lenguaje Natural para los audios transcritos de encuesta realizada en persona.</t>
        </is>
      </c>
      <c r="F29" s="3" t="inlineStr">
        <is>
          <t>Ratificar que sigue activo en 2026 y recodificar (convocante/nivel). Falta señal de actividad 2026.</t>
        </is>
      </c>
      <c r="G29" s="3" t="inlineStr">
        <is>
          <t>https://ipp.unab.cl/wp-content/uploads/2023/10/2-IPP-UNAB_Informe-Voz-de-los-votantes.pdf</t>
        </is>
      </c>
      <c r="H29" t="inlineStr"/>
      <c r="I29" t="inlineStr"/>
      <c r="J29" t="inlineStr"/>
      <c r="K29" s="4">
        <f>IF(COUNTA(H29:J29)&lt;3,"(faltan votos)",IF(AND(H29=I29,I29=J29),"DE ACUERDO","DISCUTIR"))</f>
        <v/>
      </c>
      <c r="L29" s="3" t="inlineStr"/>
    </row>
    <row r="30">
      <c r="A30" t="inlineStr">
        <is>
          <t>2. Baseline 2025</t>
        </is>
      </c>
      <c r="B30" t="inlineStr">
        <is>
          <t>CL</t>
        </is>
      </c>
      <c r="C30" s="3" t="inlineStr">
        <is>
          <t>Participación Ciudadana Proceso Constitucional</t>
        </is>
      </c>
      <c r="D30" t="inlineStr">
        <is>
          <t>Baseline 2025</t>
        </is>
      </c>
      <c r="E30" s="3" t="inlineStr">
        <is>
          <t>Análisis de las audiencias públicas dentro de los mecanismos de participación ciudadana en el proceso constitucional</t>
        </is>
      </c>
      <c r="F30" s="3" t="inlineStr">
        <is>
          <t>Ratificar que sigue activo en 2026 y recodificar (convocante/nivel). Falta señal de actividad 2026.</t>
        </is>
      </c>
      <c r="G30" s="3" t="inlineStr">
        <is>
          <t>https://www.secretariadeparticipacion.cl/wp-content/uploads/2023/10/Informe-SPC-Final.pdf</t>
        </is>
      </c>
      <c r="H30" t="inlineStr"/>
      <c r="I30" t="inlineStr"/>
      <c r="J30" t="inlineStr"/>
      <c r="K30" s="4">
        <f>IF(COUNTA(H30:J30)&lt;3,"(faltan votos)",IF(AND(H30=I30,I30=J30),"DE ACUERDO","DISCUTIR"))</f>
        <v/>
      </c>
      <c r="L30" s="3" t="inlineStr"/>
    </row>
    <row r="31">
      <c r="A31" t="inlineStr">
        <is>
          <t>2. Baseline 2025</t>
        </is>
      </c>
      <c r="B31" t="inlineStr">
        <is>
          <t>CL</t>
        </is>
      </c>
      <c r="C31" s="3" t="inlineStr">
        <is>
          <t>Participación Ciudadana Proceso Constitucional</t>
        </is>
      </c>
      <c r="D31" t="inlineStr">
        <is>
          <t>Baseline 2025</t>
        </is>
      </c>
      <c r="E31" s="3" t="inlineStr">
        <is>
          <t>Análisis de las audiencias públicas dentro de los mecanismos de participación ciudadana en el proceso constitucional</t>
        </is>
      </c>
      <c r="F31" s="3" t="inlineStr">
        <is>
          <t>Ratificar que sigue activo en 2026 y recodificar (convocante/nivel). Falta señal de actividad 2026.</t>
        </is>
      </c>
      <c r="G31" s="3" t="inlineStr">
        <is>
          <t>https://www.secretariadeparticipacion.cl/wp-content/uploads/2023/10/Informe-SPC-Final.pdf</t>
        </is>
      </c>
      <c r="H31" t="inlineStr"/>
      <c r="I31" t="inlineStr"/>
      <c r="J31" t="inlineStr"/>
      <c r="K31" s="4">
        <f>IF(COUNTA(H31:J31)&lt;3,"(faltan votos)",IF(AND(H31=I31,I31=J31),"DE ACUERDO","DISCUTIR"))</f>
        <v/>
      </c>
      <c r="L31" s="3" t="inlineStr"/>
    </row>
    <row r="32">
      <c r="A32" t="inlineStr">
        <is>
          <t>2. Baseline 2025</t>
        </is>
      </c>
      <c r="B32" t="inlineStr">
        <is>
          <t>CL</t>
        </is>
      </c>
      <c r="C32" s="3" t="inlineStr">
        <is>
          <t>Tenemos que hablar de Chile</t>
        </is>
      </c>
      <c r="D32" t="inlineStr">
        <is>
          <t>Baseline 2025</t>
        </is>
      </c>
      <c r="E32" s="3" t="inlineStr">
        <is>
          <t>Iniciativa de diálogo y participación llevada a cabo por la UCH y PUC en el contexto de manifestaciones sociales</t>
        </is>
      </c>
      <c r="F32" s="3" t="inlineStr">
        <is>
          <t>Ratificar que sigue activo en 2026 y recodificar (convocante/nivel). Falta señal de actividad 2026.</t>
        </is>
      </c>
      <c r="G32" s="3" t="inlineStr">
        <is>
          <t>https://static1.squarespace.com/static/630d0dbf05b8104ed4d55d7f/t/67f694b2f91e4f228bb941cb/1744213189210/01.+Primer-InformeTQHDCH.pdf</t>
        </is>
      </c>
      <c r="H32" t="inlineStr"/>
      <c r="I32" t="inlineStr"/>
      <c r="J32" t="inlineStr"/>
      <c r="K32" s="4">
        <f>IF(COUNTA(H32:J32)&lt;3,"(faltan votos)",IF(AND(H32=I32,I32=J32),"DE ACUERDO","DISCUTIR"))</f>
        <v/>
      </c>
      <c r="L32" s="3" t="inlineStr"/>
    </row>
    <row r="33">
      <c r="A33" t="inlineStr">
        <is>
          <t>2. Baseline 2025</t>
        </is>
      </c>
      <c r="B33" t="inlineStr">
        <is>
          <t>CL</t>
        </is>
      </c>
      <c r="C33" s="3" t="inlineStr">
        <is>
          <t>Un encuentro para la equidad de género en la movilidad en Chile</t>
        </is>
      </c>
      <c r="D33" t="inlineStr">
        <is>
          <t>Baseline 2025</t>
        </is>
      </c>
      <c r="E33" s="3" t="inlineStr">
        <is>
          <t>Espacio participativo para levantar opiniones y propuestas de autoridades, miembros de la sociedad civil y académicos sobre la movilidad con perspectiva de género en Chile.</t>
        </is>
      </c>
      <c r="F33" s="3" t="inlineStr">
        <is>
          <t>Ratificar que sigue activo en 2026 y recodificar (convocante/nivel). Falta señal de actividad 2026.</t>
        </is>
      </c>
      <c r="G33" s="3" t="inlineStr">
        <is>
          <t>https://noticiasrepositorio.unab.cl/el-centro-ciudhad-y-observatorio-territorial-del-ipp-unab-realizaron-la-jornada-participativa-un-encuentro-para-la-equidad-de-genero-en-la-movilidad-en-chile/</t>
        </is>
      </c>
      <c r="H33" t="inlineStr"/>
      <c r="I33" t="inlineStr"/>
      <c r="J33" t="inlineStr"/>
      <c r="K33" s="4">
        <f>IF(COUNTA(H33:J33)&lt;3,"(faltan votos)",IF(AND(H33=I33,I33=J33),"DE ACUERDO","DISCUTIR"))</f>
        <v/>
      </c>
      <c r="L33" s="3" t="inlineStr"/>
    </row>
    <row r="34">
      <c r="A34" t="inlineStr">
        <is>
          <t>2. Baseline 2025</t>
        </is>
      </c>
      <c r="B34" t="inlineStr">
        <is>
          <t>CO</t>
        </is>
      </c>
      <c r="C34" s="3" t="inlineStr">
        <is>
          <t>Chatico</t>
        </is>
      </c>
      <c r="D34" t="inlineStr">
        <is>
          <t>Baseline (reverif. 2026)</t>
        </is>
      </c>
      <c r="E34" s="3" t="inlineStr">
        <is>
          <t>Atención automatizada mediante procesamiento de lenguaje natural, análisis de datos y algoritmos de inteligencia artificial para responder consultas ciudadanas sobre más de 400 temas de interés.</t>
        </is>
      </c>
      <c r="F34" s="3" t="inlineStr">
        <is>
          <t>Ratificar que sigue activo en 2026 y recodificar (convocante/nivel). Hay señal de actividad 2026.</t>
        </is>
      </c>
      <c r="G34" s="3" t="inlineStr">
        <is>
          <t>https://bogota.gov.co/mi-ciudad/gestion-publica/distrito-presenta-su-agente-virtual-chatico-que-guia-la-ciudadania</t>
        </is>
      </c>
      <c r="H34" t="inlineStr"/>
      <c r="I34" t="inlineStr"/>
      <c r="J34" t="inlineStr"/>
      <c r="K34" s="4">
        <f>IF(COUNTA(H34:J34)&lt;3,"(faltan votos)",IF(AND(H34=I34,I34=J34),"DE ACUERDO","DISCUTIR"))</f>
        <v/>
      </c>
      <c r="L34" s="3" t="inlineStr"/>
    </row>
    <row r="35">
      <c r="A35" t="inlineStr">
        <is>
          <t>2. Baseline 2025</t>
        </is>
      </c>
      <c r="B35" t="inlineStr">
        <is>
          <t>CO</t>
        </is>
      </c>
      <c r="C35" s="3" t="inlineStr">
        <is>
          <t>Descongestión de solicitudes diarias del programa Ingreso Solidario</t>
        </is>
      </c>
      <c r="D35" t="inlineStr">
        <is>
          <t>Baseline 2025</t>
        </is>
      </c>
      <c r="E35" s="3"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F35" s="3" t="inlineStr">
        <is>
          <t>Ratificar que sigue activo en 2026 y recodificar (convocante/nivel). Falta señal de actividad 2026.</t>
        </is>
      </c>
      <c r="G35" s="3" t="inlineStr">
        <is>
          <t>https://prosperidadsocial.gov.co/Noticias/inteligencia-artificial-la-herramienta-que-descongestiono-10-000-solicitudes-diarias-de-ingreso-solidario/</t>
        </is>
      </c>
      <c r="H35" t="inlineStr"/>
      <c r="I35" t="inlineStr"/>
      <c r="J35" t="inlineStr"/>
      <c r="K35" s="4">
        <f>IF(COUNTA(H35:J35)&lt;3,"(faltan votos)",IF(AND(H35=I35,I35=J35),"DE ACUERDO","DISCUTIR"))</f>
        <v/>
      </c>
      <c r="L35" s="3" t="inlineStr"/>
    </row>
    <row r="36">
      <c r="A36" t="inlineStr">
        <is>
          <t>2. Baseline 2025</t>
        </is>
      </c>
      <c r="B36" t="inlineStr">
        <is>
          <t>CO</t>
        </is>
      </c>
      <c r="C36" s="3" t="inlineStr">
        <is>
          <t>ECHO – HáblameD Medellín</t>
        </is>
      </c>
      <c r="D36" t="inlineStr">
        <is>
          <t>Baseline (reverif. 2026)</t>
        </is>
      </c>
      <c r="E36" s="3" t="inlineStr">
        <is>
          <t>IA que capta voz ciudadana en debates guiados y clasifica cada enunciado en metas ODS, generando visualizaciones para la planificación territorial</t>
        </is>
      </c>
      <c r="F36" s="3" t="inlineStr">
        <is>
          <t>Ratificar que sigue activo en 2026 y recodificar (convocante/nivel). Hay señal de actividad 2026.</t>
        </is>
      </c>
      <c r="G36" s="3" t="inlineStr">
        <is>
          <t>https://colombia.unfpa.org/es/news/primeros-resultados-de-echo-en-colombia</t>
        </is>
      </c>
      <c r="H36" t="inlineStr"/>
      <c r="I36" t="inlineStr"/>
      <c r="J36" t="inlineStr"/>
      <c r="K36" s="4">
        <f>IF(COUNTA(H36:J36)&lt;3,"(faltan votos)",IF(AND(H36=I36,I36=J36),"DE ACUERDO","DISCUTIR"))</f>
        <v/>
      </c>
      <c r="L36" s="3" t="inlineStr"/>
    </row>
    <row r="37">
      <c r="A37" t="inlineStr">
        <is>
          <t>2. Baseline 2025</t>
        </is>
      </c>
      <c r="B37" t="inlineStr">
        <is>
          <t>CO</t>
        </is>
      </c>
      <c r="C37" s="3" t="inlineStr">
        <is>
          <t>Tenemos que hablar de Colombia</t>
        </is>
      </c>
      <c r="D37" t="inlineStr">
        <is>
          <t>Baseline 2025</t>
        </is>
      </c>
      <c r="E37" s="3" t="inlineStr">
        <is>
          <t>Plataforma colaborativa de diálogo e incidencia ciudadana para la conversación entre diversos actores de la sociedad colombiana, surgido a partir de eventos de manifestaciones sociales.</t>
        </is>
      </c>
      <c r="F37" s="3" t="inlineStr">
        <is>
          <t>Ratificar que sigue activo en 2026 y recodificar (convocante/nivel). Falta señal de actividad 2026.</t>
        </is>
      </c>
      <c r="G37" s="3" t="inlineStr">
        <is>
          <t>https://tenemosquehablarcolombia.co/resultados/</t>
        </is>
      </c>
      <c r="H37" t="inlineStr"/>
      <c r="I37" t="inlineStr"/>
      <c r="J37" t="inlineStr"/>
      <c r="K37" s="4">
        <f>IF(COUNTA(H37:J37)&lt;3,"(faltan votos)",IF(AND(H37=I37,I37=J37),"DE ACUERDO","DISCUTIR"))</f>
        <v/>
      </c>
      <c r="L37" s="3" t="inlineStr"/>
    </row>
    <row r="38">
      <c r="A38" t="inlineStr">
        <is>
          <t>2. Baseline 2025</t>
        </is>
      </c>
      <c r="B38" t="inlineStr">
        <is>
          <t>CR</t>
        </is>
      </c>
      <c r="C38" s="3" t="inlineStr">
        <is>
          <t>U-Report Costa Rica – chatbot juvenil</t>
        </is>
      </c>
      <c r="D38" t="inlineStr">
        <is>
          <t>Baseline (reverif. 2026)</t>
        </is>
      </c>
      <c r="E38" s="3" t="inlineStr">
        <is>
          <t>U-Report es una plataforma global de UNICEF que empodera a adolescentes y jóvenes, permitiéndoles opinar sobre temas sociales cruciales a través de canales que ya utilizan, como WhatsApp, SMS y Facebook Messenger.</t>
        </is>
      </c>
      <c r="F38" s="3" t="inlineStr">
        <is>
          <t>Ratificar que sigue activo en 2026 y recodificar (convocante/nivel). Hay señal de actividad 2026.</t>
        </is>
      </c>
      <c r="G38" s="3" t="inlineStr">
        <is>
          <t>https://costarica.ureport.in/</t>
        </is>
      </c>
      <c r="H38" t="inlineStr"/>
      <c r="I38" t="inlineStr"/>
      <c r="J38" t="inlineStr"/>
      <c r="K38" s="4">
        <f>IF(COUNTA(H38:J38)&lt;3,"(faltan votos)",IF(AND(H38=I38,I38=J38),"DE ACUERDO","DISCUTIR"))</f>
        <v/>
      </c>
      <c r="L38" s="3" t="inlineStr"/>
    </row>
    <row r="39">
      <c r="A39" t="inlineStr">
        <is>
          <t>2. Baseline 2025</t>
        </is>
      </c>
      <c r="B39" t="inlineStr">
        <is>
          <t>CR</t>
        </is>
      </c>
      <c r="C39" s="3" t="inlineStr">
        <is>
          <t>dIAra</t>
        </is>
      </c>
      <c r="D39" t="inlineStr">
        <is>
          <t>Baseline (reverif. 2026)</t>
        </is>
      </c>
      <c r="E39" s="3" t="inlineStr">
        <is>
          <t>Sistema de monitoreo de la ejecución de los proyectos de obras públicas en tiempo real mediante inteligencia artificial, donde los ciudadanos pueden fiscalizar y levantar alertas en caso de irregularidades y corrupción en el proyecto</t>
        </is>
      </c>
      <c r="F39" s="3" t="inlineStr">
        <is>
          <t>Ratificar que sigue activo en 2026 y recodificar (convocante/nivel). Hay señal de actividad 2026.</t>
        </is>
      </c>
      <c r="G39" s="3" t="inlineStr">
        <is>
          <t>https://www.camtic.org/actualidad-tic/contraloria-presento-diara-solucion-tecnologica-para-monitorear-obra-publica/</t>
        </is>
      </c>
      <c r="H39" t="inlineStr"/>
      <c r="I39" t="inlineStr"/>
      <c r="J39" t="inlineStr"/>
      <c r="K39" s="4">
        <f>IF(COUNTA(H39:J39)&lt;3,"(faltan votos)",IF(AND(H39=I39,I39=J39),"DE ACUERDO","DISCUTIR"))</f>
        <v/>
      </c>
      <c r="L39" s="3" t="inlineStr"/>
    </row>
    <row r="40">
      <c r="A40" t="inlineStr">
        <is>
          <t>2. Baseline 2025</t>
        </is>
      </c>
      <c r="B40" t="inlineStr">
        <is>
          <t>DO</t>
        </is>
      </c>
      <c r="C40" s="3" t="inlineStr">
        <is>
          <t>CiudadanIA</t>
        </is>
      </c>
      <c r="D40" t="inlineStr">
        <is>
          <t>Baseline (reverif. 2026)</t>
        </is>
      </c>
      <c r="E40" s="3"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F40" s="3" t="inlineStr">
        <is>
          <t>Ratificar que sigue activo en 2026 y recodificar (convocante/nivel). Hay señal de actividad 2026.</t>
        </is>
      </c>
      <c r="G40" s="3" t="inlineStr">
        <is>
          <t>https://www.genia.ai/paises-miembros</t>
        </is>
      </c>
      <c r="H40" t="inlineStr"/>
      <c r="I40" t="inlineStr"/>
      <c r="J40" t="inlineStr"/>
      <c r="K40" s="4">
        <f>IF(COUNTA(H40:J40)&lt;3,"(faltan votos)",IF(AND(H40=I40,I40=J40),"DE ACUERDO","DISCUTIR"))</f>
        <v/>
      </c>
      <c r="L40" s="3" t="inlineStr"/>
    </row>
    <row r="41">
      <c r="A41" t="inlineStr">
        <is>
          <t>2. Baseline 2025</t>
        </is>
      </c>
      <c r="B41" t="inlineStr">
        <is>
          <t>EC</t>
        </is>
      </c>
      <c r="C41" s="3" t="inlineStr">
        <is>
          <t>PAGA IA</t>
        </is>
      </c>
      <c r="D41" t="inlineStr">
        <is>
          <t>Baseline (reverif. 2026)</t>
        </is>
      </c>
      <c r="E41" s="3"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F41" s="3" t="inlineStr">
        <is>
          <t>Ratificar que sigue activo en 2026 y recodificar (convocante/nivel). Hay señal de actividad 2026.</t>
        </is>
      </c>
      <c r="G41" s="3" t="inlineStr">
        <is>
          <t>https://ia.gobiernoabierto.ec/</t>
        </is>
      </c>
      <c r="H41" t="inlineStr"/>
      <c r="I41" t="inlineStr"/>
      <c r="J41" t="inlineStr"/>
      <c r="K41" s="4">
        <f>IF(COUNTA(H41:J41)&lt;3,"(faltan votos)",IF(AND(H41=I41,I41=J41),"DE ACUERDO","DISCUTIR"))</f>
        <v/>
      </c>
      <c r="L41" s="3" t="inlineStr"/>
    </row>
    <row r="42">
      <c r="A42" t="inlineStr">
        <is>
          <t>2. Baseline 2025</t>
        </is>
      </c>
      <c r="B42" t="inlineStr">
        <is>
          <t>GT</t>
        </is>
      </c>
      <c r="C42" s="3" t="inlineStr">
        <is>
          <t>Guatemala Joven Conversa</t>
        </is>
      </c>
      <c r="D42" t="inlineStr">
        <is>
          <t>Baseline (reverif. 2026)</t>
        </is>
      </c>
      <c r="E42" s="3"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F42" s="3" t="inlineStr">
        <is>
          <t>Ratificar que sigue activo en 2026 y recodificar (convocante/nivel). Hay señal de actividad 2026.</t>
        </is>
      </c>
      <c r="G42" s="3" t="inlineStr">
        <is>
          <t>https://www.fundaesq.org/guatemala-joven-la-voz-de-una-generacion-de-cambios/?utm_source=chatgpt.com</t>
        </is>
      </c>
      <c r="H42" t="inlineStr"/>
      <c r="I42" t="inlineStr"/>
      <c r="J42" t="inlineStr"/>
      <c r="K42" s="4">
        <f>IF(COUNTA(H42:J42)&lt;3,"(faltan votos)",IF(AND(H42=I42,I42=J42),"DE ACUERDO","DISCUTIR"))</f>
        <v/>
      </c>
      <c r="L42" s="3" t="inlineStr"/>
    </row>
    <row r="43">
      <c r="A43" t="inlineStr">
        <is>
          <t>2. Baseline 2025</t>
        </is>
      </c>
      <c r="B43" t="inlineStr">
        <is>
          <t>HN</t>
        </is>
      </c>
      <c r="C43" s="3" t="inlineStr">
        <is>
          <t>RedPública + iVerify</t>
        </is>
      </c>
      <c r="D43" t="inlineStr">
        <is>
          <t>Baseline (reverif. 2026)</t>
        </is>
      </c>
      <c r="E43" s="3"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F43" s="3" t="inlineStr">
        <is>
          <t>Ratificar que sigue activo en 2026 y recodificar (convocante/nivel). Hay señal de actividad 2026.</t>
        </is>
      </c>
      <c r="G43" s="3" t="inlineStr">
        <is>
          <t>https://www.undp.org/es/honduras/historias/participacion-ciudadana-con-innovacion-digital-traves-de-redpublica-honduras</t>
        </is>
      </c>
      <c r="H43" t="inlineStr"/>
      <c r="I43" t="inlineStr"/>
      <c r="J43" t="inlineStr"/>
      <c r="K43" s="4">
        <f>IF(COUNTA(H43:J43)&lt;3,"(faltan votos)",IF(AND(H43=I43,I43=J43),"DE ACUERDO","DISCUTIR"))</f>
        <v/>
      </c>
      <c r="L43" s="3" t="inlineStr"/>
    </row>
    <row r="44">
      <c r="A44" t="inlineStr">
        <is>
          <t>2. Baseline 2025</t>
        </is>
      </c>
      <c r="B44" t="inlineStr">
        <is>
          <t>MX</t>
        </is>
      </c>
      <c r="C44" s="3" t="inlineStr">
        <is>
          <t>Presupuesto CRECES</t>
        </is>
      </c>
      <c r="D44" t="inlineStr">
        <is>
          <t>Baseline 2025</t>
        </is>
      </c>
      <c r="E44" s="3" t="inlineStr">
        <is>
          <t>Presupuesto participativo del Ayuntamiento de Hermosillo en México. Utiliza un chatbot que a través de IA simplifica y facilita la votación de los presupuestos participativos</t>
        </is>
      </c>
      <c r="F44" s="3" t="inlineStr">
        <is>
          <t>Ratificar que sigue activo en 2026 y recodificar (convocante/nivel). Falta señal de actividad 2026.</t>
        </is>
      </c>
      <c r="G44" s="3" t="inlineStr">
        <is>
          <t>https://presupuestocreces.hermosillo.gob.mx/</t>
        </is>
      </c>
      <c r="H44" t="inlineStr"/>
      <c r="I44" t="inlineStr"/>
      <c r="J44" t="inlineStr"/>
      <c r="K44" s="4">
        <f>IF(COUNTA(H44:J44)&lt;3,"(faltan votos)",IF(AND(H44=I44,I44=J44),"DE ACUERDO","DISCUTIR"))</f>
        <v/>
      </c>
      <c r="L44" s="3" t="inlineStr"/>
    </row>
    <row r="45">
      <c r="A45" t="inlineStr">
        <is>
          <t>2. Baseline 2025</t>
        </is>
      </c>
      <c r="B45" t="inlineStr">
        <is>
          <t>MX</t>
        </is>
      </c>
      <c r="C45" s="3" t="inlineStr">
        <is>
          <t>Sufragio seguro</t>
        </is>
      </c>
      <c r="D45" t="inlineStr">
        <is>
          <t>Baseline 2025</t>
        </is>
      </c>
      <c r="E45" s="3" t="inlineStr">
        <is>
          <t>Sistema inteligente de detección de situaciones estresantes en el proceso de emisión de sufragio para la reducción de procesos de coacción de sufragio a partir de técnicas de Machine Learning.</t>
        </is>
      </c>
      <c r="F45" s="3" t="inlineStr">
        <is>
          <t>Ratificar que sigue activo en 2026 y recodificar (convocante/nivel). Falta señal de actividad 2026.</t>
        </is>
      </c>
      <c r="G45" s="3" t="inlineStr">
        <is>
          <t>https://algoritmoscide.org/proyectos/sufragio-seguro/</t>
        </is>
      </c>
      <c r="H45" t="inlineStr"/>
      <c r="I45" t="inlineStr"/>
      <c r="J45" t="inlineStr"/>
      <c r="K45" s="4">
        <f>IF(COUNTA(H45:J45)&lt;3,"(faltan votos)",IF(AND(H45=I45,I45=J45),"DE ACUERDO","DISCUTIR"))</f>
        <v/>
      </c>
      <c r="L45" s="3" t="inlineStr"/>
    </row>
    <row r="46">
      <c r="A46" t="inlineStr">
        <is>
          <t>2. Baseline 2025</t>
        </is>
      </c>
      <c r="B46" t="inlineStr">
        <is>
          <t>PE</t>
        </is>
      </c>
      <c r="C46" s="3" t="inlineStr">
        <is>
          <t>Consulta Ciudadana sobre el Proyecto Nacional de Educación</t>
        </is>
      </c>
      <c r="D46" t="inlineStr">
        <is>
          <t>Baseline (reverif. 2026)</t>
        </is>
      </c>
      <c r="E46" s="3" t="inlineStr">
        <is>
          <t>Una consulta pública para recoger opiniones sobre el Proyecto Educativo Nacional 2036, utilizando encuestas en línea, talleres y mesas deliberativas.</t>
        </is>
      </c>
      <c r="F46" s="3" t="inlineStr">
        <is>
          <t>Ratificar que sigue activo en 2026 y recodificar (convocante/nivel). Hay señal de actividad 2026.</t>
        </is>
      </c>
      <c r="G46" s="3" t="inlineStr">
        <is>
          <t>https://www.gob.pe/institucion/cne/noticias/502734-lanzan-consulta-ciudadana-por-el-proyecto-educativo-nacional?utm_source=chatgpt.com</t>
        </is>
      </c>
      <c r="H46" t="inlineStr"/>
      <c r="I46" t="inlineStr"/>
      <c r="J46" t="inlineStr"/>
      <c r="K46" s="4">
        <f>IF(COUNTA(H46:J46)&lt;3,"(faltan votos)",IF(AND(H46=I46,I46=J46),"DE ACUERDO","DISCUTIR"))</f>
        <v/>
      </c>
      <c r="L46" s="3" t="inlineStr"/>
    </row>
    <row r="47">
      <c r="A47" t="inlineStr">
        <is>
          <t>2. Baseline 2025</t>
        </is>
      </c>
      <c r="B47" t="inlineStr">
        <is>
          <t>PE</t>
        </is>
      </c>
      <c r="C47" s="3" t="inlineStr">
        <is>
          <t>Sistema de cómputo con IA para las Elecciones Generales 2026</t>
        </is>
      </c>
      <c r="D47" t="inlineStr">
        <is>
          <t>Baseline 2025</t>
        </is>
      </c>
      <c r="E47" s="3" t="inlineStr">
        <is>
          <t>La ONPE implementará un sistema de cómputo de resultados que usa IA (OCR) para reconocer los números de las actas escaneadas, agilizando el conteo y aumentando la transparencia.</t>
        </is>
      </c>
      <c r="F47" s="3" t="inlineStr">
        <is>
          <t>Ratificar que sigue activo en 2026 y recodificar (convocante/nivel). Falta señal de actividad 2026.</t>
        </is>
      </c>
      <c r="G47" s="3" t="inlineStr">
        <is>
          <t>https://cheleloyborolas.com/index.php?Itemid=103&amp;catid=10&amp;id=72545%3Ajefe-de-la-onpe-presenta-avances-en-la-organizacion-de-las-elecciones-generales-2026&amp;option=com_content&amp;view=article</t>
        </is>
      </c>
      <c r="H47" t="inlineStr"/>
      <c r="I47" t="inlineStr"/>
      <c r="J47" t="inlineStr"/>
      <c r="K47" s="4">
        <f>IF(COUNTA(H47:J47)&lt;3,"(faltan votos)",IF(AND(H47=I47,I47=J47),"DE ACUERDO","DISCUTIR"))</f>
        <v/>
      </c>
      <c r="L47" s="3" t="inlineStr"/>
    </row>
    <row r="48">
      <c r="A48" t="inlineStr">
        <is>
          <t>3. Excluido (revisar)</t>
        </is>
      </c>
      <c r="B48" t="inlineStr">
        <is>
          <t>CL</t>
        </is>
      </c>
      <c r="C48" s="3" t="inlineStr">
        <is>
          <t>Plataforma UCampus – participación 2023</t>
        </is>
      </c>
      <c r="D48" t="inlineStr">
        <is>
          <t>Excluido 2025 (revisar)</t>
        </is>
      </c>
      <c r="E48" s="3" t="inlineStr">
        <is>
          <t>Plataforma oficial del proceso constituyente 2023 (proceso participativo ELEGIBLE); confirmar si hubo análisis NLP de los aportes (como en cabildos 2016).</t>
        </is>
      </c>
      <c r="F48" s="3" t="inlineStr">
        <is>
          <t>Motivo exclusión 2025: No evidencia de uso de IA. Revisar si ahora hay IA sobre el contenido.</t>
        </is>
      </c>
      <c r="G48" s="3" t="inlineStr">
        <is>
          <t>https://ingenieria.uchile.cl/noticias/204877/-participacion-ciudadana-proceso-constitucional-sera-por-ucampus?</t>
        </is>
      </c>
      <c r="H48" t="inlineStr"/>
      <c r="I48" t="inlineStr"/>
      <c r="J48" t="inlineStr"/>
      <c r="K48" s="4">
        <f>IF(COUNTA(H48:J48)&lt;3,"(faltan votos)",IF(AND(H48=I48,I48=J48),"DE ACUERDO","DISCUTIR"))</f>
        <v/>
      </c>
      <c r="L48" s="3" t="inlineStr"/>
    </row>
    <row r="49">
      <c r="A49" t="inlineStr">
        <is>
          <t>3. Excluido (revisar)</t>
        </is>
      </c>
      <c r="B49" t="inlineStr">
        <is>
          <t>CO</t>
        </is>
      </c>
      <c r="C49" s="3" t="inlineStr">
        <is>
          <t>"Pa’ que veás”</t>
        </is>
      </c>
      <c r="D49" t="inlineStr">
        <is>
          <t>Excluido 2025 (revisar)</t>
        </is>
      </c>
      <c r="E49" s="3" t="inlineStr">
        <is>
          <t>Bots que recopilan quejas ciudadanas y predicen riesgos en obras públicas (análogo a dIAra, que sí entra); confirmar IA sobre el contenido de las quejas.</t>
        </is>
      </c>
      <c r="F49" s="3" t="inlineStr">
        <is>
          <t>Motivo exclusión 2025: No evidencia de uso de IA. Revisar si ahora hay IA sobre el contenido.</t>
        </is>
      </c>
      <c r="G49" s="3" t="inlineStr">
        <is>
          <t>https://paqueveas.cali.gov.co/Home</t>
        </is>
      </c>
      <c r="H49" t="inlineStr"/>
      <c r="I49" t="inlineStr"/>
      <c r="J49" t="inlineStr"/>
      <c r="K49" s="4">
        <f>IF(COUNTA(H49:J49)&lt;3,"(faltan votos)",IF(AND(H49=I49,I49=J49),"DE ACUERDO","DISCUTIR"))</f>
        <v/>
      </c>
      <c r="L49" s="3" t="inlineStr"/>
    </row>
    <row r="50">
      <c r="A50" t="inlineStr">
        <is>
          <t>3. Excluido (revisar)</t>
        </is>
      </c>
      <c r="B50" t="inlineStr">
        <is>
          <t>CO</t>
        </is>
      </c>
      <c r="C50" s="3" t="inlineStr">
        <is>
          <t>Asamblea Ciudadana Itinerante del Concejo de Bogotá</t>
        </is>
      </c>
      <c r="D50" t="inlineStr">
        <is>
          <t>Excluido 2025 (revisar)</t>
        </is>
      </c>
      <c r="E50" s="3" t="inlineStr">
        <is>
          <t>Mini-público recurrente del Concejo de Bogotá (proceso ELEGIBLE); confirmar si incorpora IA sobre el contenido de los aportes.</t>
        </is>
      </c>
      <c r="F50" s="3" t="inlineStr">
        <is>
          <t>Motivo exclusión 2025: No se encontró información sobre el uso de la IA en la implementación de los Mini Publics.. Revisar si ahora hay IA sobre el contenido.</t>
        </is>
      </c>
      <c r="G50" s="3" t="inlineStr">
        <is>
          <t>https://participate.oidp.net/processes/award2023/f/277/proposals/3170?</t>
        </is>
      </c>
      <c r="H50" t="inlineStr"/>
      <c r="I50" t="inlineStr"/>
      <c r="J50" t="inlineStr"/>
      <c r="K50" s="4">
        <f>IF(COUNTA(H50:J50)&lt;3,"(faltan votos)",IF(AND(H50=I50,I50=J50),"DE ACUERDO","DISCUTIR"))</f>
        <v/>
      </c>
      <c r="L50" s="3" t="inlineStr"/>
    </row>
    <row r="51">
      <c r="A51" t="inlineStr">
        <is>
          <t>3. Excluido (revisar)</t>
        </is>
      </c>
      <c r="B51" t="inlineStr">
        <is>
          <t>CO</t>
        </is>
      </c>
      <c r="C51" s="3" t="inlineStr">
        <is>
          <t>Mini-Public del diálogo social de la Procuraduría</t>
        </is>
      </c>
      <c r="D51" t="inlineStr">
        <is>
          <t>Excluido 2025 (revisar)</t>
        </is>
      </c>
      <c r="E51" s="3" t="inlineStr">
        <is>
          <t>Mini-público / diálogo social (proceso ELEGIBLE); confirmar uso de IA sobre el contenido de los aportes.</t>
        </is>
      </c>
      <c r="F51" s="3" t="inlineStr">
        <is>
          <t>Motivo exclusión 2025: No se encontró información sobre el uso de la IA en la implementación de los Mini Publics.. Revisar si ahora hay IA sobre el contenido.</t>
        </is>
      </c>
      <c r="G51" s="3" t="inlineStr">
        <is>
          <t>https://ideemos.org/mini-public-del-dialogo-social-de-la-procuraduria/</t>
        </is>
      </c>
      <c r="H51" t="inlineStr"/>
      <c r="I51" t="inlineStr"/>
      <c r="J51" t="inlineStr"/>
      <c r="K51" s="4">
        <f>IF(COUNTA(H51:J51)&lt;3,"(faltan votos)",IF(AND(H51=I51,I51=J51),"DE ACUERDO","DISCUTIR"))</f>
        <v/>
      </c>
      <c r="L51" s="3" t="inlineStr"/>
    </row>
    <row r="52">
      <c r="A52" t="inlineStr">
        <is>
          <t>3. Excluido (revisar)</t>
        </is>
      </c>
      <c r="B52" t="inlineStr">
        <is>
          <t>CO</t>
        </is>
      </c>
      <c r="C52" s="3" t="inlineStr">
        <is>
          <t>iLabs – Laboratorios de Inteligencia Colectiva</t>
        </is>
      </c>
      <c r="D52" t="inlineStr">
        <is>
          <t>Excluido 2025 (revisar)</t>
        </is>
      </c>
      <c r="E52" s="3" t="inlineStr">
        <is>
          <t>Se describe como integración de analítica de datos, IA y deliberación ciudadana (mini-públicos, jurados, asambleas) — tipo de proceso ELEGIBLE; confirmar si la IA procesa el CONTENIDO de los aportes.</t>
        </is>
      </c>
      <c r="F52" s="3" t="inlineStr">
        <is>
          <t>Motivo exclusión 2025: No se encontró información sobre el uso de la IA en la implementación de los Mini Publics.. Revisar si ahora hay IA sobre el contenido.</t>
        </is>
      </c>
      <c r="G52" s="3" t="inlineStr">
        <is>
          <t>https://ideemos.org/wp-content/uploads/2021/04/iLabs-Laboratorio-de-Inteligencia-Colectiva.pdf</t>
        </is>
      </c>
      <c r="H52" t="inlineStr"/>
      <c r="I52" t="inlineStr"/>
      <c r="J52" t="inlineStr"/>
      <c r="K52" s="4">
        <f>IF(COUNTA(H52:J52)&lt;3,"(faltan votos)",IF(AND(H52=I52,I52=J52),"DE ACUERDO","DISCUTIR"))</f>
        <v/>
      </c>
      <c r="L52" s="3" t="inlineStr"/>
    </row>
  </sheetData>
  <autoFilter ref="A1:L52"/>
  <conditionalFormatting sqref="K2:K52">
    <cfRule type="cellIs" priority="1" operator="equal" dxfId="0">
      <formula>"DISCUTIR"</formula>
    </cfRule>
    <cfRule type="cellIs" priority="2" operator="equal" dxfId="1">
      <formula>"DE ACUERDO"</formula>
    </cfRule>
  </conditionalFormatting>
  <dataValidations count="1">
    <dataValidation sqref="H2:H52 I2:I52 J2:J52" showDropDown="0" showInputMessage="0" showErrorMessage="0" allowBlank="1" type="list">
      <formula1>"SI,NO,DUDA"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2026-06-14T20:49:42Z</dcterms:created>
  <dcterms:modified xsi:type="dcterms:W3CDTF">2026-06-14T20:49:42Z</dcterms:modified>
</cp:coreProperties>
</file>